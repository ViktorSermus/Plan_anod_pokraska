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\Desktop\Проекты курсор\Plan_anod_pokraska\"/>
    </mc:Choice>
  </mc:AlternateContent>
  <xr:revisionPtr revIDLastSave="0" documentId="13_ncr:1_{AEFB28D0-C12B-41D5-9298-0DC4C261EDC8}" xr6:coauthVersionLast="47" xr6:coauthVersionMax="47" xr10:uidLastSave="{00000000-0000-0000-0000-000000000000}"/>
  <bookViews>
    <workbookView xWindow="-108" yWindow="-108" windowWidth="23256" windowHeight="12456" activeTab="1" xr2:uid="{C8A1E9FE-E60D-4E25-A0E9-7F030D8EE51E}"/>
  </bookViews>
  <sheets>
    <sheet name="Лист1" sheetId="1" r:id="rId1"/>
    <sheet name="пример отчета" sheetId="4" r:id="rId2"/>
    <sheet name="znom_primer" sheetId="2" r:id="rId3"/>
    <sheet name="reestr_primer" sheetId="3" r:id="rId4"/>
  </sheets>
  <definedNames>
    <definedName name="ExternalData_1" localSheetId="3" hidden="1">reestr_primer!$A$1:$P$73</definedName>
    <definedName name="ExternalData_1" localSheetId="2" hidden="1">znom_primer!$A$1:$U$16</definedName>
  </definedNames>
  <calcPr calcId="181029" refMode="R1C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C61EA-19AB-41DE-9A97-CB6EA7295D48}" keepAlive="1" name="Запрос — REESTR" description="Соединение с запросом &quot;REESTR&quot; в книге." type="5" refreshedVersion="7" background="1" saveData="1">
    <dbPr connection="Provider=Microsoft.Mashup.OleDb.1;Data Source=$Workbook$;Location=REESTR;Extended Properties=&quot;&quot;" command="SELECT * FROM [REESTR]"/>
  </connection>
  <connection id="2" xr16:uid="{72A7FEE3-B9DD-454C-8850-E8F87FA6EF39}" keepAlive="1" name="Запрос — ZNOM" description="Соединение с запросом &quot;ZNOM&quot; в книге." type="5" refreshedVersion="7" background="1" saveData="1">
    <dbPr connection="Provider=Microsoft.Mashup.OleDb.1;Data Source=$Workbook$;Location=ZNOM;Extended Properties=&quot;&quot;" command="SELECT * FROM [ZNOM]"/>
  </connection>
  <connection id="3" xr16:uid="{BB611703-CF35-4B89-91FE-42BCF2AB1DE4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4" xr16:uid="{C13C6C13-FF2A-49B8-B171-CE2711C5A64E}" keepAlive="1" name="Запрос — Параметр2" description="Соединение с запросом &quot;Параметр2&quot; в книге." type="5" refreshedVersion="0" background="1">
    <dbPr connection="Provider=Microsoft.Mashup.OleDb.1;Data Source=$Workbook$;Location=Параметр2;Extended Properties=&quot;&quot;" command="SELECT * FROM [Параметр2]"/>
  </connection>
  <connection id="5" xr16:uid="{C4412652-09E3-4FA0-B677-ACF2580B3F49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6" xr16:uid="{56664794-E848-48B1-BA05-124D5F08F350}" keepAlive="1" name="Запрос — Преобразовать пример файла (2)" description="Соединение с запросом &quot;Преобразовать пример файла (2)&quot; в книге." type="5" refreshedVersion="0" background="1">
    <dbPr connection="Provider=Microsoft.Mashup.OleDb.1;Data Source=$Workbook$;Location=&quot;Преобразовать пример файла (2)&quot;;Extended Properties=&quot;&quot;" command="SELECT * FROM [Преобразовать пример файла (2)]"/>
  </connection>
  <connection id="7" xr16:uid="{C3A9AC87-EC83-4FB6-B943-69760704F1E3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8" xr16:uid="{A7127C74-5DB1-4530-9B33-58EB16A260F1}" keepAlive="1" name="Запрос — Преобразовать файл (2)" description="Соединение с запросом &quot;Преобразовать файл (2)&quot; в книге." type="5" refreshedVersion="0" background="1">
    <dbPr connection="Provider=Microsoft.Mashup.OleDb.1;Data Source=$Workbook$;Location=&quot;Преобразовать файл (2)&quot;;Extended Properties=&quot;&quot;" command="SELECT * FROM [Преобразовать файл (2)]"/>
  </connection>
  <connection id="9" xr16:uid="{35C1D1B3-4E0E-47DE-B645-483D052EDFEE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10" xr16:uid="{546A520A-0C9F-42CD-8B45-99A15B6A916D}" keepAlive="1" name="Запрос — Пример файла (2)" description="Соединение с запросом &quot;Пример файла (2)&quot; в книге." type="5" refreshedVersion="0" background="1">
    <dbPr connection="Provider=Microsoft.Mashup.OleDb.1;Data Source=$Workbook$;Location=&quot;Пример файла (2)&quot;;Extended Properties=&quot;&quot;" command="SELECT * FROM [Пример файла (2)]"/>
  </connection>
</connections>
</file>

<file path=xl/sharedStrings.xml><?xml version="1.0" encoding="utf-8"?>
<sst xmlns="http://schemas.openxmlformats.org/spreadsheetml/2006/main" count="552" uniqueCount="298">
  <si>
    <t>Source.Name</t>
  </si>
  <si>
    <t>№ заявки</t>
  </si>
  <si>
    <t>Дата заявки</t>
  </si>
  <si>
    <t>Column1</t>
  </si>
  <si>
    <t>Услуга</t>
  </si>
  <si>
    <t>№ п.п.</t>
  </si>
  <si>
    <t>Наименование</t>
  </si>
  <si>
    <t>Кол-во м.п.</t>
  </si>
  <si>
    <t>Хлысты</t>
  </si>
  <si>
    <t>Периметр</t>
  </si>
  <si>
    <t>Вес м.п.</t>
  </si>
  <si>
    <t>Площадь</t>
  </si>
  <si>
    <t>Вес кг</t>
  </si>
  <si>
    <t>расход краски</t>
  </si>
  <si>
    <t>Цена м.п.</t>
  </si>
  <si>
    <t>Цена м2</t>
  </si>
  <si>
    <t>Сумма, руб.</t>
  </si>
  <si>
    <t>ЗНОМ 619.25.xls</t>
  </si>
  <si>
    <t>000000619</t>
  </si>
  <si>
    <t>ЦВЕТ-ОК</t>
  </si>
  <si>
    <t>анодирование</t>
  </si>
  <si>
    <t>1</t>
  </si>
  <si>
    <t>[101062] НПЧ 703, 89*45 (обвязка 3*3) Д, 5,0м, АД31</t>
  </si>
  <si>
    <t>2</t>
  </si>
  <si>
    <t>[101063] НПЧ 703, 89*45 (обвязка 3*3) Д, 4,62м, АД31</t>
  </si>
  <si>
    <t>ЗНОМ 626.25.xls</t>
  </si>
  <si>
    <t>000000626</t>
  </si>
  <si>
    <t>ПОКРАСКА</t>
  </si>
  <si>
    <t>[376] А 12 (0072-08) Угловая стойка, 5,0м, 6063 КР</t>
  </si>
  <si>
    <t>[101057] А 13 Угловая стойка 135 градусов, 5,1м, 6063 Fe</t>
  </si>
  <si>
    <t>3</t>
  </si>
  <si>
    <t>[379] А 15 (0072-04 или 0072-10 Т6, уп Т5) Прогон однополочный, 5,0м, 6063 Кр</t>
  </si>
  <si>
    <t>4</t>
  </si>
  <si>
    <t>[60734] А 16 (0072-05) Прогон двухполочный, 5,0м, анод с дробью ПОД ПОКРАСКУ</t>
  </si>
  <si>
    <t>5</t>
  </si>
  <si>
    <t>[41590] А 18 (0073-18) Стойка Т-образная, 5,0м, 6063 КР</t>
  </si>
  <si>
    <t>6</t>
  </si>
  <si>
    <t>[56861] А 16 (0072-05) Прогон двухполочный, 5,0м, сплав 6063</t>
  </si>
  <si>
    <t>ЗНОМ 637.25.xls</t>
  </si>
  <si>
    <t>000000637</t>
  </si>
  <si>
    <t>[100347] 2106-29, 6,0м, Ад31 Т1</t>
  </si>
  <si>
    <t>ЗНОМ 643.25.xls</t>
  </si>
  <si>
    <t>000000643</t>
  </si>
  <si>
    <t>[69317] АП 2138 (2606-65), 6,0м, 6063 Т6 под анод, упак.Т5, БА</t>
  </si>
  <si>
    <t>ЗНОМ 644.25.xls</t>
  </si>
  <si>
    <t>000000644</t>
  </si>
  <si>
    <t>[34252] 0906-64, 6,0м, 6063 Т6, под анод, упаковка Т-5, без покрытия</t>
  </si>
  <si>
    <t>ЗНОМ 645.25.xls</t>
  </si>
  <si>
    <t>000000645</t>
  </si>
  <si>
    <t>[43203] 0906-96, 6,05м, БА, сплав 6063 Т6 под анод, уп.Т5, БА</t>
  </si>
  <si>
    <t>ЗНОМ 646.25.xls</t>
  </si>
  <si>
    <t>000000646</t>
  </si>
  <si>
    <t>[81578] 1706-68, 6,0м, 6063 Т6 под анод, упаковка Т-5, БА</t>
  </si>
  <si>
    <t>ЗНОМ 647.25.xls</t>
  </si>
  <si>
    <t>000000647</t>
  </si>
  <si>
    <t>[99610] 1606-37 (6200), 5,35 м, сплав 6063 КР Т6, упаковка Т-5 под анод</t>
  </si>
  <si>
    <t>ЗНОМ 648.25.xls</t>
  </si>
  <si>
    <t>000000648</t>
  </si>
  <si>
    <t>[257] Труба Ал прямоугольная 20*20*1мм,  (0013-06, 220389, АВА0828, АТ-1836, АА-2098-01),  6,0м, БА</t>
  </si>
  <si>
    <t>Кол-во м.п. по ЗНОМ</t>
  </si>
  <si>
    <t>ЗНП</t>
  </si>
  <si>
    <t>Бронь перемещ</t>
  </si>
  <si>
    <t>ЗНС</t>
  </si>
  <si>
    <t>Перемещено</t>
  </si>
  <si>
    <t>Продукция</t>
  </si>
  <si>
    <t>Кол-во по заявке</t>
  </si>
  <si>
    <t>Цена за м.п.</t>
  </si>
  <si>
    <t>Сумма руб</t>
  </si>
  <si>
    <t>Бронь под обр</t>
  </si>
  <si>
    <t>Обработано</t>
  </si>
  <si>
    <t>Примечание</t>
  </si>
  <si>
    <t>РеестрЗНОМ2.xls</t>
  </si>
  <si>
    <t>000000602</t>
  </si>
  <si>
    <t>[56993] автоуголок 90*60*2мм (0506-17, 97083, АВА-521)6,0м 6063 Т6</t>
  </si>
  <si>
    <t>[32326] автоуголок 90*60*2мм (0506-17) 6,0м анод с дробью+стрейч (16хл/загр)</t>
  </si>
  <si>
    <t>ЗНОМ 602_бортовой профиль_10мкм с дробью_каждый хлыст в стрейч</t>
  </si>
  <si>
    <t>000000603</t>
  </si>
  <si>
    <t>[376] А 12 (0072-08) Угловая стойка, 5,0м, 6063 Т6 под анод</t>
  </si>
  <si>
    <t>[28133] А 12 (0072-08) Угловая стойка, 5,0м, анод 10+/-2мкм с дробью+ОКЛЕЙКА</t>
  </si>
  <si>
    <t>Еврошоп_603_анод 10+/-2мкм с дробью+ОКЛЕЙКА</t>
  </si>
  <si>
    <t>000000604</t>
  </si>
  <si>
    <t>[77502] 0706-85 4,9 м, 6063 под анод, сост Т6, уп. Т5</t>
  </si>
  <si>
    <t>[77501] 0706-85 4,9 м, анод 10+/-2мкм с дробью + оклейка</t>
  </si>
  <si>
    <t>ЭЗС_604_анод 10+/-2мкм с дробью + оклейка</t>
  </si>
  <si>
    <t>000000605</t>
  </si>
  <si>
    <t>[99611] 1606-38 (197.05) 5,05 м, сплав 6063 КР Т6  уп. Т-5 под анод</t>
  </si>
  <si>
    <t>[99598] 1606-38, 5,05 м, анод 4-5мкм с дробью, уп в стрейч по 2хл</t>
  </si>
  <si>
    <t>ФРАМИР_605_анод 4-5мкм с дробью + стрейч (1606-38 по2шт, 1606-39-мини-пачка, 2606-14 каждый хлыст</t>
  </si>
  <si>
    <t>[100372] 1606-39, 5,05м, сплав 6063 КР Т6 под анод</t>
  </si>
  <si>
    <t>[100367] 1606-39, 5,05 м, анод 4-5мкм с дробью, уп в стрейч мини-пачки</t>
  </si>
  <si>
    <t>[85515] 2606-14 (замена 2606-06), 5,05 м, 6063 Т6 уп. Т-5 под анод</t>
  </si>
  <si>
    <t>[86253] 2606-14, 5,05 м, анод 4-5мкм с дробью, уп в стрейч каждый хл</t>
  </si>
  <si>
    <t>000000606</t>
  </si>
  <si>
    <t>[78330] 8507023 верхний (АГС,АА-2064-01) 6,50м, анод с дробью_стрейч</t>
  </si>
  <si>
    <t>[85440] 8507023 (0680-03 ) 3,25м, БЦ+стрейч (склад)</t>
  </si>
  <si>
    <t>распил на склад борта</t>
  </si>
  <si>
    <t>[77456] 8507025-2 средний (АГС) шир 222мм, 6,50м, анод с дробью_стрейч</t>
  </si>
  <si>
    <t>[87554] 8507025-2 (МАК 0680-02) шир 222мм, 3,25м, анод с дробью+стрейч</t>
  </si>
  <si>
    <t>[77534] 8507029-10 нижний, (МАК 0680-01)  6,50м, анод с дробью_стрейч</t>
  </si>
  <si>
    <t>[85872] 8507029-10 (мак.0680-01) бортовой нижний, 3,25м, БЦ+стрейч</t>
  </si>
  <si>
    <t>[30670] 8507042 П-образный (0680-06 нет, АА-2064-04) 6,0м, БЦ+стрейч по 2 шт</t>
  </si>
  <si>
    <t>[100962] 8507042 (0680-06 нет, АА-2064-04) 3,0м, БЦ+стрейч по 2 шт</t>
  </si>
  <si>
    <t>000000607</t>
  </si>
  <si>
    <t>[91034] 1506-79 (АВА-7226), 3,6м, 6063 Т6 под анод, упаковка Т-5, БА</t>
  </si>
  <si>
    <t>[90614] 1506-79, 3,6м, БЦ анод 5мкм без дроби, упак. бумага</t>
  </si>
  <si>
    <t>Интилед_000000607_БЦ анод 5мкм без дроби + коэфф.1,2, упак.бумага. Приход МАК 07/11</t>
  </si>
  <si>
    <t>000000608</t>
  </si>
  <si>
    <t>[78712] 1606-73 (п-образный), 6,0м, 6063 Т6 под анод, упаковка Т-5, БА</t>
  </si>
  <si>
    <t>[79536] 1606-73 (п-образный), 6,0м, БЦ анод (5мкм) без дроби, упак стрейч</t>
  </si>
  <si>
    <t>Мегла_000000608_БЦ анод 5мкм без дроби, упак.стрейч. Приход МАК 07/11</t>
  </si>
  <si>
    <t>000000610</t>
  </si>
  <si>
    <t>[93731] Труба Ал прямоугольная 60*25*2мм, сплав АД31 Т1 длина 6,0м</t>
  </si>
  <si>
    <t>[101033] Труба Ал прямоугольная 60*25*2мм, сплав АД31 Т1 длина 2,0м</t>
  </si>
  <si>
    <t>распил на склад сцены, 2000+2000+2000</t>
  </si>
  <si>
    <t>000000611</t>
  </si>
  <si>
    <t>[76529] 1606-48, 6,0 м, сплав 6063 КР Т6 (под анод)</t>
  </si>
  <si>
    <t>[76666] 1606-48, 6,0 м, анод10+/-2мкм с дробью+уп стрейч</t>
  </si>
  <si>
    <t>Современные сиситемы_611_анод10+/-2мкм с дробью+уп стрейч</t>
  </si>
  <si>
    <t>000000609</t>
  </si>
  <si>
    <t>[77780] автоуголок 250*40мм (1706-75, 97101) 6,0м, сплав 6063 Т6 +  упаковка Т5</t>
  </si>
  <si>
    <t>[69260] автоуголок 250*40мм (1706-75, 97101) 6,0м анод 10+/-2мкм с дробью+стрейч  (8хл/загр.)</t>
  </si>
  <si>
    <t>Днепр_609_анод 10мкм +/-2мкм, с дробью, уп стрейч</t>
  </si>
  <si>
    <t>[69916] автоуголок 50*50 мм (97082) 6,0м,  сплав 6063 Т6 + упаковка А5</t>
  </si>
  <si>
    <t>[69261] автоуголок 50*50 мм (97082) 6,0м,  анод 10+/-2мкм с дробью + стрейч</t>
  </si>
  <si>
    <t>000000612</t>
  </si>
  <si>
    <t>[44722] 0706-92 3,0 м, сплав 6063 КР под анод</t>
  </si>
  <si>
    <t>[44662] 0706-92 (тр84*84) 3,0 м, анод 10 +/-2мкм с дробью, уп. бумага-волной</t>
  </si>
  <si>
    <t>Тахион_612_анод 10 +/-2мкм с дробью, уп. бумага-волной</t>
  </si>
  <si>
    <t>000000613</t>
  </si>
  <si>
    <t>[91532] Корпус_КУДР.676621.015.01 (1885мм) 6063</t>
  </si>
  <si>
    <t>[91531] Корпус_КУДР.676621.015.01 (1885мм) Д анод 15мкм</t>
  </si>
  <si>
    <t>ЗНОМ 613_Д_НТ КОНТАКТ_15мкм без дрби_минипачки</t>
  </si>
  <si>
    <t>[91534] Корпус_КУДР.676621.015.01-01 (1418мм) 6063</t>
  </si>
  <si>
    <t>[91533] Корпус_КУДР.676621.015.01-01 (1418мм) Д анод 15мкм</t>
  </si>
  <si>
    <t>000000614</t>
  </si>
  <si>
    <t>[97490] 2106-05, 6м, АД31 Т1, уп Т2</t>
  </si>
  <si>
    <t>[97491] 2106-05, 6м, RAL 8014(АкзоНобель), уп мини-пачки 20 шт в 2 ряда,внутр паз минимальный прокрас</t>
  </si>
  <si>
    <t>МОДЕР_614_RAL 8014 (АкзоНобель), уп мини-пачки 20 шт в 2 ряда,внутр паз минимальный прокрас</t>
  </si>
  <si>
    <t>000000615</t>
  </si>
  <si>
    <t>[97581] 2106-05, 6м, RAL 7016 (АкзоНобель), уп мини-пачки 20 шт в 2 ряда, внутр паз минимальный прокрас</t>
  </si>
  <si>
    <t>МОДЕРН_615_RAL 7016(Акзонобель), уп мини-пачки 20 шт в 2 ряда,внутр паз минимальный прокрас</t>
  </si>
  <si>
    <t>000000591</t>
  </si>
  <si>
    <t>[99597] 1606-37, 5,35 м, анод 4-5мкм с дробью,уп в стрейч каждого хл, проложка между рядами прокладки карто</t>
  </si>
  <si>
    <t>ФРАМИР_591_ анод 4-5мкм с дробью, уп в стрейч (РИАК)</t>
  </si>
  <si>
    <t>000000616</t>
  </si>
  <si>
    <t>ФРАМИР_616_ анод 10+/-2мкм с дробью + стрейч</t>
  </si>
  <si>
    <t>000000618</t>
  </si>
  <si>
    <t>[99278] НЧП-3737 (ДАВ) 6м, 6063</t>
  </si>
  <si>
    <t>[101064] НЧП-3737 (ДАВ) 6м, анод 20 мкм с дробью, уп стрейч каждый хлыст</t>
  </si>
  <si>
    <t>Гесфер_618_дав_анод 20 мкм с дробью, уп стрейч каждый хлыст ,стубцины</t>
  </si>
  <si>
    <t>000000617</t>
  </si>
  <si>
    <t>[95906] Труба Ал круглая 32*1мм (новый 219064.1) сплав 6060 Т6, L= 6,0м БА</t>
  </si>
  <si>
    <t>[1056] Труба Ал круглая 32*1мм  6,0м БЦ без дроби</t>
  </si>
  <si>
    <t>Зном 617  Поставка АГС .анод без дроби 4 мкр</t>
  </si>
  <si>
    <t>[65949] ВАС-2, (219058) 6,0м, БА</t>
  </si>
  <si>
    <t>[73383] ВАС-2, (219058 ,0706-64) 6,0м, БЦ</t>
  </si>
  <si>
    <t>000000621</t>
  </si>
  <si>
    <t>[72368] 0203-87, L=6,0м,  6063 под анод,  упаковка Т5, БА</t>
  </si>
  <si>
    <t>[72716] 0203-87 (40х40), длина 6,0м, БЦ анодирование</t>
  </si>
  <si>
    <t>ЗНОМ 621__10мкм без дроби_2 загр_каждый хлыст в стрейч</t>
  </si>
  <si>
    <t>000000623</t>
  </si>
  <si>
    <t>ЭЗС_623_анод 10+/-2мкм с дробью + оклейка_СРОЧНО</t>
  </si>
  <si>
    <t>000000622</t>
  </si>
  <si>
    <t>[30348] 8507027 (АГС) средний под скобу, 6,50м, сплав  6063 Т6</t>
  </si>
  <si>
    <t>[30668] 8507027 (АГС) средний под скобу, 6,50м, БЦ+стрейч по 2 шт</t>
  </si>
  <si>
    <t>ЗНОМ 622__бортовой прайс_10мкм с дробью_каждый хлыст в стрейч</t>
  </si>
  <si>
    <t>000000624</t>
  </si>
  <si>
    <t>[29864] 0106-280 (берем тут Б-1275)  L= 6,0м, 6063 под анод, упаковкаТ5</t>
  </si>
  <si>
    <t>[29614] 0106-280 (Б-1275) 6,0 БЦ</t>
  </si>
  <si>
    <t>зном 624 . Поставка АВА трейд Анод без дроби 4 мкр.</t>
  </si>
  <si>
    <t>[101060] НПЧ 703, 89*45 (обвязка 3*3) Д, 5,0м, анод 8-10 мкм, без дроби, веерное прокл.бумагой</t>
  </si>
  <si>
    <t>ТЕНТОВАЯ АРХИТЕКТУРА_619_дав_анод 8-10 мкм, без дроби, веерное прокл.бумагой</t>
  </si>
  <si>
    <t>[101061] НПЧ 703, 89*45 (обвязка ) Д, 4,62м, анод 8-10 мкм, без дроби, веерное прокл.бумагой</t>
  </si>
  <si>
    <t>[17550] А 12 (0072-01), 5,0м, RAL9005 + оклейка</t>
  </si>
  <si>
    <t>Импорт-Д_626_RAL9005+оклейка</t>
  </si>
  <si>
    <t>[38555] А 13 (0072-02), 5,1м, RAL9005+окл</t>
  </si>
  <si>
    <t>[17551] А 15 (0072-04), 5,0м, RAL9005+оклейка</t>
  </si>
  <si>
    <t>[69462] А 16 (0072-05), 5,0м, RAL 9005+оклейка</t>
  </si>
  <si>
    <t>[50148] А 18 (0073-06), 5,0м, RAL9005+оклейка</t>
  </si>
  <si>
    <t>000000625</t>
  </si>
  <si>
    <t>[89457] АП 2168 Д, кроншейн большой 2400 (1700х52мм), 6063</t>
  </si>
  <si>
    <t>[89455] АП 2168 Д, кроншейн большой 2400 (1700х52мм), анод 18-21мкм_с дробью_упаковка каждого хл в стрейч</t>
  </si>
  <si>
    <t>МЕНТОР_625_дав_анод 18-21мкм_с дробью_упаковка каждого хл</t>
  </si>
  <si>
    <t>[89458] АП 2168 Д, кронштейн малый 1580 (1300х52мм), 6063</t>
  </si>
  <si>
    <t>[89456] АП 2168 Д, кронштейн малый 1580 (1300х52мм), анод 18-21мкм_с дробью_упаковка каждого хл в стрейч</t>
  </si>
  <si>
    <t>000000627</t>
  </si>
  <si>
    <t>[52379] 0906-65, 6,0м, БА сплав 6063 Т6 под анод, упак. Т5, БА</t>
  </si>
  <si>
    <t>[33926] 0906-65, 6,0м, БЦ анод 8-10мкм с дробью + стретч-плёнка</t>
  </si>
  <si>
    <t>Тэрас_000000627_БЦ анод 8-10мкм с дробью, упак.стрейч. Приход МАК 17/11</t>
  </si>
  <si>
    <t>000000628</t>
  </si>
  <si>
    <t>[69453] 1506-44 (АВА-7225), 6,0м, 6063 Т6 под анод, упаковка Т-5, без покрытия</t>
  </si>
  <si>
    <t>[69431] 1506-44, 6,0м, БЦ анод (9-12мкм) без дроби, упак.стрейч</t>
  </si>
  <si>
    <t>ЭСМ_000000628_БЦ анод 10мкм без дроби, упак.стрейч. Приход МАК 17/11</t>
  </si>
  <si>
    <t>000000629</t>
  </si>
  <si>
    <t>[70484] 1506-77 (АА-2050-85), 6,0м, 6063 Т6 под анод, упаковка Т-5, без покрытия</t>
  </si>
  <si>
    <t>[73880] 1506-77, 6,0м, БЦ анод 10мкм с дробью+стрейч</t>
  </si>
  <si>
    <t>Энергосервис_000000629_БЦ анод 10мкм с дробью, упак.стрейч. Приход МАК 17/11</t>
  </si>
  <si>
    <t>000000630</t>
  </si>
  <si>
    <t>[69317] 2606-65 (АП 2138), 6,0м, 6063 Т6 под анод, упак.Т5, БА</t>
  </si>
  <si>
    <t>[69283] 2606-65 (АП 2138), 6,0м, БЦ анод 10мкм без дроби, уп стрейч</t>
  </si>
  <si>
    <t>Энергосервис_000000630_БЦ анод 10мкм без броби, упак.стрей. НА ЭТИКЕТКЕ - ТОЛЬКО 2606-65_Приход МАК 17/11</t>
  </si>
  <si>
    <t>000000631</t>
  </si>
  <si>
    <t>Днепр_631_анод 10мкм +/-2мкм, с дробью, уп стрейч</t>
  </si>
  <si>
    <t>000000632</t>
  </si>
  <si>
    <t>[865] автополоса 155*4мм (0106-152)  6,0м  6063 под анод,  уп Т5</t>
  </si>
  <si>
    <t>[70302] автополоса 155*4мм (0106-152) 6,0м БЦ анод с дробью+стрейч (15хл./загр.)</t>
  </si>
  <si>
    <t>Днепр_632_анод 10мкм +/-2мкм, с дробью, уп стрейч</t>
  </si>
  <si>
    <t>000000633</t>
  </si>
  <si>
    <t>[21076] Щеточный уплотнитель для Проведаль 9FE/04 7*6мм 400м/кор, 400м/бухта</t>
  </si>
  <si>
    <t>[55198] Щеточный уплотнитель для Проведаль 9FE/04 7*6мм 400м/кор, 400м/бухта  СОБКО</t>
  </si>
  <si>
    <t>БРИСКЛИ - нужный код 1С</t>
  </si>
  <si>
    <t>000000634</t>
  </si>
  <si>
    <t>[919] Труба Ал круглая 22*1,5мм (9999-45,АТ-600) 6,0м , 6063 под анод, упаковка Т5</t>
  </si>
  <si>
    <t>[35876] Труба Ал круглая 22*1,5мм (9999-45,АТ-600)  6,0м БЦ</t>
  </si>
  <si>
    <t>зном 634 Поставка МАК анод без дроби 4 мкр</t>
  </si>
  <si>
    <t>[95905] Труба Ал круглая 35*1,2 (новый 219066.1), сплав 6060 Т6, L=6,0м БА</t>
  </si>
  <si>
    <t>[1161] Труба Ал круглая 35*1,2 (АВА Б-1274,0106-177, АТ-992, ВАС-10, 219066), 6,0м, 6063 под анод</t>
  </si>
  <si>
    <t>000000635</t>
  </si>
  <si>
    <t>зном 635 Поствка Мак , анод без дроби</t>
  </si>
  <si>
    <t>[29739] Труба Ал круглая 35*1,2 (АВА Б-1274,0106-177), 6,0м БЦ</t>
  </si>
  <si>
    <t>000000636</t>
  </si>
  <si>
    <t>[96979] автоуголок 150*55*3мм (0106-153) 6,0м 6063 под анод, уп. Т5 (мин 1 тонна)</t>
  </si>
  <si>
    <t>[69740] автоуголок 150*55*3мм (0106-153 ) 6,0м RAL 9003 , окраска наружних углов с торцами</t>
  </si>
  <si>
    <t>ДЬЮТИ ФРИ_636_RAL 9003,  окраска наружних углов с торцами!</t>
  </si>
  <si>
    <t>000000638</t>
  </si>
  <si>
    <t>[100348] 2106-30, 6,0м, 6063 Т6 под анод</t>
  </si>
  <si>
    <t>[100344] 2106-45, 6,0м, анод10+/-2мкм с дробью, упаковка в бумагу волной</t>
  </si>
  <si>
    <t>АДЦ_638_анод10+/-2мкм с дробью, упаковка в стрейч по 10шт</t>
  </si>
  <si>
    <t>000000639</t>
  </si>
  <si>
    <t>[90028] 2575 коробка Д,6м</t>
  </si>
  <si>
    <t>[90030] 2575 коробка, Д, 6м, анод 15мкм с дробью</t>
  </si>
  <si>
    <t>ЗНОМ 639_Д_ФОРМА_2 загр_15 мкм с дробью_стрейч каждый хлыст</t>
  </si>
  <si>
    <t>000000640</t>
  </si>
  <si>
    <t>[88065] 1806-63, 3,4м, 6063 Т6, уп.Т5</t>
  </si>
  <si>
    <t>[88060] 1806-63, 3,4м, 5мкм с Дробью + оклейка</t>
  </si>
  <si>
    <t>МДС_000000640_БЦ анод 5мкмс дробью коэфф.1,2, упак. оклейка</t>
  </si>
  <si>
    <t>000000641</t>
  </si>
  <si>
    <t>[257] 4215071 Труба Ал прямоуг. 20*20*1мм, ВС-М-071, (0013-06 АТ-1836 АА-2098-01 АВА-0828 220389) 6,0м, БА</t>
  </si>
  <si>
    <t>[36528] 4215071 Труба Ал прямоуг. 20*20*1мм, ВС-М-071, (0013-06) 6,0м, анод15 +/-2мкм б/дроби, уп стрейч мин</t>
  </si>
  <si>
    <t>ТСК_641_анод 15 +/-2мкм без дроби, уп стрейч мини-пачки</t>
  </si>
  <si>
    <t>000000642</t>
  </si>
  <si>
    <t>[85860] ручка боковой защиты (221148) 6,0м анод, веерная  бумагой,  стрейч каждый хлыст (10хл/загрг)</t>
  </si>
  <si>
    <t>[94134] Заглушка для боковой защиты, полукруглая, 100мм</t>
  </si>
  <si>
    <t>Распил , на склад борта, детали по 10 см</t>
  </si>
  <si>
    <t>Энергосервис_000000643_БЦ анод 10мкм без броби, упак.стрей. НА ЭТИКЕТКЕ - ТОЛЬКО 2606-65_Приход МАК 25/11</t>
  </si>
  <si>
    <t>[34253] 0906-64, 6,0м, БЦ анод 8-10мкм с дробью (4000 пресс), упак.стрейч</t>
  </si>
  <si>
    <t>Тэрас_000000644_БЦ анод 8-10мкм с дробью, упак.стрейч. Приход МАК 25/11</t>
  </si>
  <si>
    <t>[93064] 0906-96, 6,05м, БЦ анод 15мкм с Дробью, упаковка в бумагу</t>
  </si>
  <si>
    <t>Атлант_000000645_БЦ анод 15мкм с дробью, упак.бумага_Приход МАК 25/11</t>
  </si>
  <si>
    <t>[87860] 1706-68, 6,0м, БЦ анод 5мкм (тех) без дроби, упак.стрейч</t>
  </si>
  <si>
    <t>Брабансон_000000646_БЦ анод 5мкм без дроби+коэфф. 1.2, упак.стрейч. Приход МАК 25/11</t>
  </si>
  <si>
    <t>ФРАМИР_647_ анод 4-5мкм с дробью, уп в стрейч (МАК)</t>
  </si>
  <si>
    <t>[100343] 2106-29, 6,0м,RAL9016 матовый, упаковка в стрейч по 10шт в 2 ряда</t>
  </si>
  <si>
    <t>АДЦ_637_RAL9016 матовый, уп в стрейч по 10шт в 2 ряда</t>
  </si>
  <si>
    <t>ТМК_648_анод 15 +/-2мкм без дроби, уп стрейч мини-пачки</t>
  </si>
  <si>
    <t>000000649</t>
  </si>
  <si>
    <t>[29800] 0706-55, L= 6,0м, сплав 6063 под анод, Т5 упаковка</t>
  </si>
  <si>
    <t>[29871] 0706-55,  6,0м, БЦ</t>
  </si>
  <si>
    <t>Зном 649. Поставка МАК . анод без дроби 4 мкр.</t>
  </si>
  <si>
    <t>[1110] Труба Ал круглая 32*1мм (АВА 2544,0106-146, АТ-1327, ВАС-8, 219064) 6,0м , 6063 под анод</t>
  </si>
  <si>
    <t>000000650</t>
  </si>
  <si>
    <t>[98295] 221162 д, АД31 Т1, 3,1м, БА</t>
  </si>
  <si>
    <t>[98294] 221162 д, АД31 Т1, 3,1м, БЦ анод 15мкм с дробью, упак.стрейч каждый хлыст</t>
  </si>
  <si>
    <t>Ал-профи_000000650_дав_БЦ анод 15мкм с дробью, упак.стрейч каждый хлыст</t>
  </si>
  <si>
    <t>000000651</t>
  </si>
  <si>
    <t>Ал-профи_000000651_дав_БЦ анод 15мкм с дробью, упак.стрейч каждый хлыст</t>
  </si>
  <si>
    <t>000000652</t>
  </si>
  <si>
    <t>[101273] Лист 1200х3000х1,5мм дав, АД1Н</t>
  </si>
  <si>
    <t>[101274] Лист 1200х3000х1,5мм дав, АД1Н, БЦ анод 10мкм на струбцинах</t>
  </si>
  <si>
    <t>Эн-Системс_000000652_дав 10мкм , струбцины 7500руб.</t>
  </si>
  <si>
    <t>000000654</t>
  </si>
  <si>
    <t>[86322] автоуголок 120*42мм (1806-35, АВА-1558) 6,0м 6063 Т6 уп.Т5</t>
  </si>
  <si>
    <t>[86321] автоуголок 120*42мм (1806-35) 6,0м анод с дробью, стрейч</t>
  </si>
  <si>
    <t>ЗНОМ 654__бортовой прайс_10мкм с дробью_каждый хлыст в стрейч</t>
  </si>
  <si>
    <t>000000653</t>
  </si>
  <si>
    <t>[29755] 0706-57, (НЧП-5538, АТ-6013, ВАС-7, 219063) 6,0м, БА</t>
  </si>
  <si>
    <t>[29802] 0706-57,(НЧП-5538, АТ-6013, 219063)  6,0м, БЦ</t>
  </si>
  <si>
    <t>зном 653. Поставка АГС . анод без дроби 4 мкр .</t>
  </si>
  <si>
    <t>[29801] 0706-58,(НЧП-5537, АТ-6014, ВАС-6, 219062),  6,0м, БА</t>
  </si>
  <si>
    <t>[29803] 0706-58,(НЧП-5537, АТ-6014, 219062)  6,0м, БЦ</t>
  </si>
  <si>
    <t>Сумма по полю Кол-во м.п.</t>
  </si>
  <si>
    <t>Сумма по полю Хлысты</t>
  </si>
  <si>
    <t>REESTR.Перемещено</t>
  </si>
  <si>
    <t>REESTR.Бронь под обр</t>
  </si>
  <si>
    <t>REESTR.Обработано</t>
  </si>
  <si>
    <t>Берется из базы  данных на основе запроса ZNOM</t>
  </si>
  <si>
    <t>Сопоставляется из запроса REESTR по № заявки, дата заявки и наименованию материала</t>
  </si>
  <si>
    <t>Вывезено</t>
  </si>
  <si>
    <t>считается по формуле</t>
  </si>
  <si>
    <t>Обработано м.п.</t>
  </si>
  <si>
    <t>Бронь под обработку м.п.</t>
  </si>
  <si>
    <t>Перемещено м.п.</t>
  </si>
  <si>
    <t>заполняется вручную.</t>
  </si>
  <si>
    <t>Осталось вывезти</t>
  </si>
  <si>
    <t>Автор</t>
  </si>
  <si>
    <t>Золотухина Светлана Александровна</t>
  </si>
  <si>
    <t>ООО НТЦ ЦВЕТ ОК</t>
  </si>
  <si>
    <t>Геращенко Анастасия Владимировна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</si>
</sst>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Обычны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6107.984157986109" createdVersion="7" refreshedVersion="7" minRefreshableVersion="3" recordCount="15" xr:uid="{A224453E-AD67-4359-AE73-13022C272BFC}">
  <cacheSource type="worksheet">
    <worksheetSource name="ZNOM"/>
  </cacheSource>
  <cacheFields count="21">
    <cacheField name="Source.Name" numFmtId="0">
      <sharedItems/>
    </cacheField>
    <cacheField name="№ заявки" numFmtId="0">
      <sharedItems count="9">
        <s v="000000619"/>
        <s v="000000626"/>
        <s v="000000644"/>
        <s v="000000645"/>
        <s v="000000646"/>
        <s v="000000647"/>
        <s v="000000637"/>
        <s v="000000643"/>
        <s v="000000648"/>
      </sharedItems>
    </cacheField>
    <cacheField name="Дата заявки" numFmtId="14">
      <sharedItems containsSemiMixedTypes="0" containsNonDate="0" containsDate="1" containsString="0" minDate="2025-11-12T00:00:00" maxDate="2025-11-26T00:00:00" count="3">
        <d v="2025-11-12T00:00:00"/>
        <d v="2025-11-24T00:00:00"/>
        <d v="2025-11-25T00:00:00"/>
      </sharedItems>
    </cacheField>
    <cacheField name="Column1" numFmtId="0">
      <sharedItems/>
    </cacheField>
    <cacheField name="Услуга" numFmtId="0">
      <sharedItems/>
    </cacheField>
    <cacheField name="Автор" numFmtId="0">
      <sharedItems count="2">
        <s v="Золотухина Светлана Александровна"/>
        <s v="Геращенко Анастасия Владимировна"/>
      </sharedItems>
    </cacheField>
    <cacheField name="№ п.п." numFmtId="0">
      <sharedItems/>
    </cacheField>
    <cacheField name="Наименование" numFmtId="0">
      <sharedItems count="15">
        <s v="[101062] НПЧ 703, 89*45 (обвязка 3*3) Д, 5,0м, АД31"/>
        <s v="[101063] НПЧ 703, 89*45 (обвязка 3*3) Д, 4,62м, АД31"/>
        <s v="[101057] А 13 Угловая стойка 135 градусов, 5,1м, 6063 Fe"/>
        <s v="[379] А 15 (0072-04 или 0072-10 Т6, уп Т5) Прогон однополочный, 5,0м, 6063 Кр"/>
        <s v="[60734] А 16 (0072-05) Прогон двухполочный, 5,0м, анод с дробью ПОД ПОКРАСКУ"/>
        <s v="[41590] А 18 (0073-18) Стойка Т-образная, 5,0м, 6063 КР"/>
        <s v="[56861] А 16 (0072-05) Прогон двухполочный, 5,0м, сплав 6063"/>
        <s v="[34252] 0906-64, 6,0м, 6063 Т6, под анод, упаковка Т-5, без покрытия"/>
        <s v="[43203] 0906-96, 6,05м, БА, сплав 6063 Т6 под анод, уп.Т5, БА"/>
        <s v="[81578] 1706-68, 6,0м, 6063 Т6 под анод, упаковка Т-5, БА"/>
        <s v="[99610] 1606-37 (6200), 5,35 м, сплав 6063 КР Т6, упаковка Т-5 под анод"/>
        <s v="[100347] 2106-29, 6,0м, Ад31 Т1"/>
        <s v="[376] А 12 (0072-08) Угловая стойка, 5,0м, 6063 КР"/>
        <s v="[69317] АП 2138 (2606-65), 6,0м, 6063 Т6 под анод, упак.Т5, БА"/>
        <s v="[257] Труба Ал прямоугольная 20*20*1мм,  (0013-06, 220389, АВА0828, АТ-1836, АА-2098-01),  6,0м, БА"/>
      </sharedItems>
    </cacheField>
    <cacheField name="Кол-во м.п." numFmtId="0">
      <sharedItems containsSemiMixedTypes="0" containsString="0" containsNumber="1" minValue="5.0999999999999996" maxValue="2940"/>
    </cacheField>
    <cacheField name="Хлысты" numFmtId="0">
      <sharedItems containsSemiMixedTypes="0" containsString="0" containsNumber="1" containsInteger="1" minValue="1" maxValue="490"/>
    </cacheField>
    <cacheField name="Периметр" numFmtId="0">
      <sharedItems containsSemiMixedTypes="0" containsString="0" containsNumber="1" minValue="7.9500000000000001E-2" maxValue="0.41"/>
    </cacheField>
    <cacheField name="Вес м.п." numFmtId="0">
      <sharedItems containsSemiMixedTypes="0" containsString="0" containsNumber="1" minValue="0.20599999999999999" maxValue="1.974"/>
    </cacheField>
    <cacheField name="Площадь" numFmtId="0">
      <sharedItems containsSemiMixedTypes="0" containsString="0" containsNumber="1" minValue="0.91649999999999998" maxValue="296.94"/>
    </cacheField>
    <cacheField name="Вес кг" numFmtId="0">
      <sharedItems containsSemiMixedTypes="0" containsString="0" containsNumber="1" minValue="2.0093999999999999" maxValue="1242.549"/>
    </cacheField>
    <cacheField name="расход краски" numFmtId="0">
      <sharedItems containsSemiMixedTypes="0" containsString="0" containsNumber="1" minValue="0.12" maxValue="38.6"/>
    </cacheField>
    <cacheField name="Цена м.п." numFmtId="0">
      <sharedItems containsSemiMixedTypes="0" containsString="0" containsNumber="1" minValue="45.24" maxValue="301.48"/>
    </cacheField>
    <cacheField name="Цена м2" numFmtId="0">
      <sharedItems containsSemiMixedTypes="0" containsString="0" containsNumber="1" minValue="300" maxValue="735.33"/>
    </cacheField>
    <cacheField name="Сумма, руб." numFmtId="0">
      <sharedItems containsSemiMixedTypes="0" containsString="0" containsNumber="1" minValue="274.94" maxValue="158269.01999999999"/>
    </cacheField>
    <cacheField name="REESTR.Перемещено" numFmtId="0">
      <sharedItems containsString="0" containsBlank="1" containsNumber="1" minValue="5.0999999999999996" maxValue="2940"/>
    </cacheField>
    <cacheField name="REESTR.Бронь под обр" numFmtId="0">
      <sharedItems containsString="0" containsBlank="1" containsNumber="1" minValue="5.0999999999999996" maxValue="2940"/>
    </cacheField>
    <cacheField name="REESTR.Обработано" numFmtId="0">
      <sharedItems containsString="0" containsBlank="1" containsNumber="1" minValue="5.0999999999999996" maxValue="2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ЗНОМ 619.25.xls"/>
    <x v="0"/>
    <x v="0"/>
    <s v="ЦВЕТ-ОК"/>
    <s v="анодирование"/>
    <x v="0"/>
    <s v="1"/>
    <x v="0"/>
    <n v="245"/>
    <n v="49"/>
    <n v="0.41"/>
    <n v="1.974"/>
    <n v="100.45"/>
    <n v="483.63"/>
    <n v="13.06"/>
    <n v="238.78"/>
    <n v="582.38"/>
    <n v="58500"/>
    <n v="245"/>
    <n v="245"/>
    <n v="245"/>
  </r>
  <r>
    <s v="ЗНОМ 619.25.xls"/>
    <x v="0"/>
    <x v="0"/>
    <s v="ЦВЕТ-ОК"/>
    <s v="анодирование"/>
    <x v="0"/>
    <s v="2"/>
    <x v="1"/>
    <n v="129.36000000000001"/>
    <n v="28"/>
    <n v="0.41"/>
    <n v="1.974"/>
    <n v="53.037599999999998"/>
    <n v="255.35659999999999"/>
    <n v="6.89"/>
    <n v="301.48"/>
    <n v="735.33"/>
    <n v="39000"/>
    <n v="129.36000000000001"/>
    <n v="129.36000000000001"/>
    <n v="129.36000000000001"/>
  </r>
  <r>
    <s v="ЗНОМ 626.25.xls"/>
    <x v="1"/>
    <x v="0"/>
    <s v="ООО НТЦ ЦВЕТ ОК"/>
    <s v="ПОКРАСКА"/>
    <x v="0"/>
    <s v="2"/>
    <x v="2"/>
    <n v="5.0999999999999996"/>
    <n v="1"/>
    <n v="0.1797"/>
    <n v="0.39400000000000002"/>
    <n v="0.91649999999999998"/>
    <n v="2.0093999999999999"/>
    <n v="0.12"/>
    <n v="53.91"/>
    <n v="300"/>
    <n v="274.94"/>
    <n v="5.0999999999999996"/>
    <n v="5.0999999999999996"/>
    <n v="5.0999999999999996"/>
  </r>
  <r>
    <s v="ЗНОМ 626.25.xls"/>
    <x v="1"/>
    <x v="0"/>
    <s v="ООО НТЦ ЦВЕТ ОК"/>
    <s v="ПОКРАСКА"/>
    <x v="0"/>
    <s v="3"/>
    <x v="3"/>
    <n v="115"/>
    <n v="23"/>
    <n v="0.1827"/>
    <n v="0.36899999999999999"/>
    <n v="21.0105"/>
    <n v="42.435000000000002"/>
    <n v="2.73"/>
    <n v="54.81"/>
    <n v="300"/>
    <n v="6303.15"/>
    <n v="115"/>
    <n v="115"/>
    <n v="115"/>
  </r>
  <r>
    <s v="ЗНОМ 626.25.xls"/>
    <x v="1"/>
    <x v="0"/>
    <s v="ООО НТЦ ЦВЕТ ОК"/>
    <s v="ПОКРАСКА"/>
    <x v="0"/>
    <s v="4"/>
    <x v="4"/>
    <n v="10"/>
    <n v="2"/>
    <n v="0.19420000000000001"/>
    <n v="0.41799999999999998"/>
    <n v="1.9419999999999999"/>
    <n v="4.18"/>
    <n v="0.25"/>
    <n v="58.26"/>
    <n v="300"/>
    <n v="582.6"/>
    <n v="10"/>
    <n v="10"/>
    <n v="20"/>
  </r>
  <r>
    <s v="ЗНОМ 626.25.xls"/>
    <x v="1"/>
    <x v="0"/>
    <s v="ООО НТЦ ЦВЕТ ОК"/>
    <s v="ПОКРАСКА"/>
    <x v="0"/>
    <s v="5"/>
    <x v="5"/>
    <n v="40"/>
    <n v="8"/>
    <n v="0.27189999999999998"/>
    <n v="0.50600000000000001"/>
    <n v="10.875999999999999"/>
    <n v="20.239999999999998"/>
    <n v="1.41"/>
    <n v="81.569999999999993"/>
    <n v="300"/>
    <n v="3262.8"/>
    <n v="40"/>
    <n v="40"/>
    <n v="40"/>
  </r>
  <r>
    <s v="ЗНОМ 626.25.xls"/>
    <x v="1"/>
    <x v="0"/>
    <s v="ООО НТЦ ЦВЕТ ОК"/>
    <s v="ПОКРАСКА"/>
    <x v="0"/>
    <s v="6"/>
    <x v="6"/>
    <n v="10"/>
    <n v="2"/>
    <n v="0.19420000000000001"/>
    <n v="0.41799999999999998"/>
    <n v="1.9419999999999999"/>
    <n v="4.18"/>
    <n v="0.25"/>
    <n v="58.26"/>
    <n v="300"/>
    <n v="582.6"/>
    <n v="10"/>
    <n v="10"/>
    <n v="20"/>
  </r>
  <r>
    <s v="ЗНОМ 644.25.xls"/>
    <x v="2"/>
    <x v="1"/>
    <s v="ЦВЕТ-ОК"/>
    <s v="анодирование"/>
    <x v="1"/>
    <s v="1"/>
    <x v="7"/>
    <n v="516"/>
    <n v="86"/>
    <n v="0.31109999999999999"/>
    <n v="1.7769999999999999"/>
    <n v="160.52760000000001"/>
    <n v="916.93200000000002"/>
    <n v="20.87"/>
    <n v="158.66"/>
    <n v="510"/>
    <n v="81869.08"/>
    <n v="516"/>
    <n v="516"/>
    <n v="516"/>
  </r>
  <r>
    <s v="ЗНОМ 645.25.xls"/>
    <x v="3"/>
    <x v="1"/>
    <s v="ЦВЕТ-ОК"/>
    <s v="анодирование"/>
    <x v="1"/>
    <s v="1"/>
    <x v="8"/>
    <n v="1524.6"/>
    <n v="252"/>
    <n v="0.1822"/>
    <n v="0.81499999999999995"/>
    <n v="277.78210000000001"/>
    <n v="1242.549"/>
    <n v="36.11"/>
    <n v="89.28"/>
    <n v="490"/>
    <n v="136113.24"/>
    <n v="1524.6"/>
    <n v="1524.6"/>
    <n v="1524.6"/>
  </r>
  <r>
    <s v="ЗНОМ 646.25.xls"/>
    <x v="4"/>
    <x v="1"/>
    <s v="ЦВЕТ-ОК"/>
    <s v="анодирование"/>
    <x v="1"/>
    <s v="1"/>
    <x v="9"/>
    <n v="2940"/>
    <n v="490"/>
    <n v="0.10100000000000001"/>
    <n v="0.30599999999999999"/>
    <n v="296.94"/>
    <n v="899.64"/>
    <n v="38.6"/>
    <n v="53.83"/>
    <n v="533"/>
    <n v="158269.01999999999"/>
    <n v="2940"/>
    <n v="2940"/>
    <n v="2940"/>
  </r>
  <r>
    <s v="ЗНОМ 647.25.xls"/>
    <x v="5"/>
    <x v="1"/>
    <s v="ЦВЕТ-ОК"/>
    <s v="анодирование"/>
    <x v="0"/>
    <s v="1"/>
    <x v="10"/>
    <n v="658.05"/>
    <n v="123"/>
    <n v="0.2651"/>
    <n v="0.82099999999999995"/>
    <n v="174.44909999999999"/>
    <n v="540.25909999999999"/>
    <n v="22.68"/>
    <n v="129.9"/>
    <n v="490"/>
    <n v="85480.7"/>
    <n v="658.05"/>
    <n v="658.05"/>
    <n v="658.05"/>
  </r>
  <r>
    <s v="ЗНОМ 637.25.xls"/>
    <x v="6"/>
    <x v="2"/>
    <s v="ЦВЕТ-ОК"/>
    <s v="ПОКРАСКА"/>
    <x v="0"/>
    <s v="1"/>
    <x v="11"/>
    <n v="300"/>
    <n v="50"/>
    <n v="0.13719999999999999"/>
    <n v="0.21299999999999999"/>
    <n v="41.16"/>
    <n v="63.9"/>
    <n v="5.35"/>
    <n v="47.2"/>
    <n v="344"/>
    <n v="14160"/>
    <n v="300"/>
    <n v="300"/>
    <n v="300"/>
  </r>
  <r>
    <s v="ЗНОМ 626.25.xls"/>
    <x v="1"/>
    <x v="0"/>
    <s v="ООО НТЦ ЦВЕТ ОК"/>
    <s v="ПОКРАСКА"/>
    <x v="0"/>
    <s v="1"/>
    <x v="12"/>
    <n v="25"/>
    <n v="5"/>
    <n v="0.18360000000000001"/>
    <n v="0.39400000000000002"/>
    <n v="4.59"/>
    <n v="9.85"/>
    <n v="0.6"/>
    <n v="55.08"/>
    <n v="300"/>
    <n v="1377"/>
    <m/>
    <m/>
    <m/>
  </r>
  <r>
    <s v="ЗНОМ 643.25.xls"/>
    <x v="7"/>
    <x v="1"/>
    <s v="ЦВЕТ-ОК"/>
    <s v="анодирование"/>
    <x v="1"/>
    <s v="1"/>
    <x v="13"/>
    <n v="150"/>
    <n v="25"/>
    <n v="0.252"/>
    <n v="0.70599999999999996"/>
    <n v="37.799999999999997"/>
    <n v="105.9"/>
    <n v="4.91"/>
    <n v="118.44"/>
    <n v="470"/>
    <n v="17766"/>
    <m/>
    <m/>
    <m/>
  </r>
  <r>
    <s v="ЗНОМ 648.25.xls"/>
    <x v="8"/>
    <x v="2"/>
    <s v="ЦВЕТ-ОК"/>
    <s v="анодирование"/>
    <x v="0"/>
    <s v="1"/>
    <x v="14"/>
    <n v="900"/>
    <n v="150"/>
    <n v="7.9500000000000001E-2"/>
    <n v="0.20599999999999999"/>
    <n v="71.55"/>
    <n v="185.4"/>
    <n v="9.3000000000000007"/>
    <n v="45.24"/>
    <n v="569"/>
    <n v="40711.94999999999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B390E-D48C-41A8-92C6-2A2B144C6475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2:I17" firstHeaderRow="0" firstDataRow="1" firstDataCol="4"/>
  <pivotFields count="21">
    <pivotField compact="0" outline="0" showAll="0" defaultSubtotal="0"/>
    <pivotField axis="axisRow" compact="0" outline="0" showAll="0" defaultSubtotal="0">
      <items count="9">
        <item x="0"/>
        <item x="1"/>
        <item x="6"/>
        <item x="7"/>
        <item x="2"/>
        <item x="3"/>
        <item x="4"/>
        <item x="5"/>
        <item x="8"/>
      </items>
    </pivotField>
    <pivotField axis="axisRow" compact="0" numFmtId="14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howAll="0" defaultSubtotal="0"/>
    <pivotField axis="axisRow" compact="0" outline="0" showAll="0" defaultSubtotal="0">
      <items count="15">
        <item x="11"/>
        <item x="2"/>
        <item x="0"/>
        <item x="1"/>
        <item x="14"/>
        <item x="7"/>
        <item x="12"/>
        <item x="3"/>
        <item x="5"/>
        <item x="8"/>
        <item x="6"/>
        <item x="4"/>
        <item x="13"/>
        <item x="9"/>
        <item x="10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4">
    <field x="2"/>
    <field x="5"/>
    <field x="1"/>
    <field x="7"/>
  </rowFields>
  <rowItems count="15">
    <i>
      <x/>
      <x v="1"/>
      <x/>
      <x v="2"/>
    </i>
    <i r="3">
      <x v="3"/>
    </i>
    <i r="2">
      <x v="1"/>
      <x v="1"/>
    </i>
    <i r="3">
      <x v="6"/>
    </i>
    <i r="3">
      <x v="7"/>
    </i>
    <i r="3">
      <x v="8"/>
    </i>
    <i r="3">
      <x v="10"/>
    </i>
    <i r="3">
      <x v="11"/>
    </i>
    <i>
      <x v="1"/>
      <x/>
      <x v="3"/>
      <x v="12"/>
    </i>
    <i r="2">
      <x v="4"/>
      <x v="5"/>
    </i>
    <i r="2">
      <x v="5"/>
      <x v="9"/>
    </i>
    <i r="2">
      <x v="6"/>
      <x v="13"/>
    </i>
    <i r="1">
      <x v="1"/>
      <x v="7"/>
      <x v="14"/>
    </i>
    <i>
      <x v="2"/>
      <x v="1"/>
      <x v="2"/>
      <x/>
    </i>
    <i r="2">
      <x v="8"/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Сумма по полю Кол-во м.п." fld="8" baseField="0" baseItem="0"/>
    <dataField name="Сумма по полю Хлысты" fld="9" baseField="0" baseItem="0"/>
    <dataField name="Перемещено м.п." fld="18" baseField="0" baseItem="0"/>
    <dataField name="Бронь под обработку м.п." fld="19" baseField="0" baseItem="0"/>
    <dataField name="Обработано м.п.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40BE7C-17A0-477D-8B35-E1CF87DFF856}" autoFormatId="16" applyNumberFormats="0" applyBorderFormats="0" applyFontFormats="0" applyPatternFormats="0" applyAlignmentFormats="0" applyWidthHeightFormats="0">
  <queryTableRefresh nextId="23">
    <queryTableFields count="21">
      <queryTableField id="1" name="Source.Name" tableColumnId="18"/>
      <queryTableField id="2" name="№ заявки" tableColumnId="2"/>
      <queryTableField id="3" name="Дата заявки" tableColumnId="3"/>
      <queryTableField id="4" name="Column1" tableColumnId="4"/>
      <queryTableField id="5" name="Услуга" tableColumnId="5"/>
      <queryTableField id="21" name="Автор" tableColumnId="1"/>
      <queryTableField id="6" name="№ п.п." tableColumnId="6"/>
      <queryTableField id="7" name="Наименование" tableColumnId="7"/>
      <queryTableField id="8" name="Кол-во м.п." tableColumnId="8"/>
      <queryTableField id="9" name="Хлысты" tableColumnId="9"/>
      <queryTableField id="10" name="Периметр" tableColumnId="10"/>
      <queryTableField id="11" name="Вес м.п." tableColumnId="11"/>
      <queryTableField id="12" name="Площадь" tableColumnId="12"/>
      <queryTableField id="13" name="Вес кг" tableColumnId="13"/>
      <queryTableField id="14" name="расход краски" tableColumnId="14"/>
      <queryTableField id="15" name="Цена м.п." tableColumnId="15"/>
      <queryTableField id="16" name="Цена м2" tableColumnId="16"/>
      <queryTableField id="17" name="Сумма, руб." tableColumnId="17"/>
      <queryTableField id="18" name="REESTR.Перемещено" tableColumnId="19"/>
      <queryTableField id="19" name="REESTR.Бронь под обр" tableColumnId="20"/>
      <queryTableField id="20" name="REESTR.Обработано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2AC74A-93E3-4729-B804-203CCB6A09F7}" autoFormatId="16" applyNumberFormats="0" applyBorderFormats="0" applyFontFormats="0" applyPatternFormats="0" applyAlignmentFormats="0" applyWidthHeightFormats="0">
  <queryTableRefresh nextId="19">
    <queryTableFields count="16">
      <queryTableField id="1" name="Source.Name" tableColumnId="17"/>
      <queryTableField id="2" name="№ заявки" tableColumnId="2"/>
      <queryTableField id="3" name="Дата заявки" tableColumnId="3"/>
      <queryTableField id="17" name="Наименование" tableColumnId="18"/>
      <queryTableField id="5" name="Кол-во м.п. по ЗНОМ" tableColumnId="5"/>
      <queryTableField id="6" name="ЗНП" tableColumnId="6"/>
      <queryTableField id="7" name="Бронь перемещ" tableColumnId="7"/>
      <queryTableField id="8" name="ЗНС" tableColumnId="8"/>
      <queryTableField id="9" name="Перемещено" tableColumnId="9"/>
      <queryTableField id="10" name="Продукция" tableColumnId="10"/>
      <queryTableField id="11" name="Кол-во по заявке" tableColumnId="11"/>
      <queryTableField id="12" name="Цена за м.п." tableColumnId="12"/>
      <queryTableField id="13" name="Сумма руб" tableColumnId="13"/>
      <queryTableField id="14" name="Бронь под обр" tableColumnId="14"/>
      <queryTableField id="15" name="Обработано" tableColumnId="15"/>
      <queryTableField id="16" name="Примечание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B457A-448B-44AA-99D0-6C6C84D590FA}" name="ZNOM" displayName="ZNOM" ref="A1:U16" tableType="queryTable" totalsRowShown="0">
  <autoFilter ref="A1:U16" xr:uid="{498B457A-448B-44AA-99D0-6C6C84D590FA}"/>
  <tableColumns count="21">
    <tableColumn id="18" xr3:uid="{5103B1FD-6D95-4FEB-A659-48C11ED9D35E}" uniqueName="18" name="Source.Name" queryTableFieldId="1" dataDxfId="6"/>
    <tableColumn id="2" xr3:uid="{F2655A23-6E55-40EE-81B1-DE5023F09312}" uniqueName="2" name="№ заявки" queryTableFieldId="2" dataDxfId="5"/>
    <tableColumn id="3" xr3:uid="{86C415D7-5297-435F-8AD3-D4A05DE476FF}" uniqueName="3" name="Дата заявки" queryTableFieldId="3" dataDxfId="4"/>
    <tableColumn id="4" xr3:uid="{2FE8DE00-FC48-4C8C-BA78-1A92BE636C62}" uniqueName="4" name="Column1" queryTableFieldId="4" dataDxfId="3"/>
    <tableColumn id="5" xr3:uid="{C13BA0E7-94A6-4AEE-9445-295828FA5F22}" uniqueName="5" name="Услуга" queryTableFieldId="5" dataDxfId="2"/>
    <tableColumn id="1" xr3:uid="{64D1062C-9C14-42B5-ACCA-810FBD70856B}" uniqueName="1" name="Автор" queryTableFieldId="21"/>
    <tableColumn id="6" xr3:uid="{76925376-BF49-499A-B9B0-3BB065753BB6}" uniqueName="6" name="№ п.п." queryTableFieldId="6" dataDxfId="1"/>
    <tableColumn id="7" xr3:uid="{C057EE96-67E5-43C0-97A6-4C1A4D48A2DB}" uniqueName="7" name="Наименование" queryTableFieldId="7" dataDxfId="0"/>
    <tableColumn id="8" xr3:uid="{689069E5-A524-42B0-966B-6FD2DDAA03CA}" uniqueName="8" name="Кол-во м.п." queryTableFieldId="8"/>
    <tableColumn id="9" xr3:uid="{CEAD0382-5BCC-422B-A85D-1B895E534248}" uniqueName="9" name="Хлысты" queryTableFieldId="9"/>
    <tableColumn id="10" xr3:uid="{61A25888-729F-42A1-AAA4-F3F150A93576}" uniqueName="10" name="Периметр" queryTableFieldId="10"/>
    <tableColumn id="11" xr3:uid="{FB919D21-F18F-485D-BDE9-830D5F0F7D13}" uniqueName="11" name="Вес м.п." queryTableFieldId="11"/>
    <tableColumn id="12" xr3:uid="{48660A63-AE93-4D83-B12A-C0AA6E3BD9EA}" uniqueName="12" name="Площадь" queryTableFieldId="12"/>
    <tableColumn id="13" xr3:uid="{D59399D6-4910-4F5B-9EEA-6D71ABF67DB5}" uniqueName="13" name="Вес кг" queryTableFieldId="13"/>
    <tableColumn id="14" xr3:uid="{2A7BFB6E-92C1-4C50-9AED-90D83657E314}" uniqueName="14" name="расход краски" queryTableFieldId="14"/>
    <tableColumn id="15" xr3:uid="{D8EAF709-8869-43A4-A3BD-06FD3D1BA5B9}" uniqueName="15" name="Цена м.п." queryTableFieldId="15"/>
    <tableColumn id="16" xr3:uid="{0525CD7B-CA9C-4B8A-86E9-6128CC304FF2}" uniqueName="16" name="Цена м2" queryTableFieldId="16"/>
    <tableColumn id="17" xr3:uid="{3DD44534-239D-40F4-9049-A9A99E23A232}" uniqueName="17" name="Сумма, руб." queryTableFieldId="17"/>
    <tableColumn id="19" xr3:uid="{D34ABF35-50C6-4F1D-8961-6B79802A835B}" uniqueName="19" name="REESTR.Перемещено" queryTableFieldId="18"/>
    <tableColumn id="20" xr3:uid="{B9B0F609-2830-478D-A780-2A82F67AED97}" uniqueName="20" name="REESTR.Бронь под обр" queryTableFieldId="19"/>
    <tableColumn id="21" xr3:uid="{2651107C-7F0B-409B-AF5F-F8D69ED1BFCA}" uniqueName="21" name="REESTR.Обработано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824FE3-2197-4DB0-B0FA-BD24BF3DE839}" name="REESTR" displayName="REESTR" ref="A1:P73" tableType="queryTable" totalsRowShown="0">
  <autoFilter ref="A1:P73" xr:uid="{C3824FE3-2197-4DB0-B0FA-BD24BF3DE839}"/>
  <tableColumns count="16">
    <tableColumn id="17" xr3:uid="{0AC61785-E0DD-4FC6-9892-F34F7F673E51}" uniqueName="17" name="Source.Name" queryTableFieldId="1" dataDxfId="11"/>
    <tableColumn id="2" xr3:uid="{19239BC2-0B2E-432D-BC1A-D0E767DB0A34}" uniqueName="2" name="№ заявки" queryTableFieldId="2" dataDxfId="10"/>
    <tableColumn id="3" xr3:uid="{20354D1D-6A93-4793-A7BC-51631BB4705D}" uniqueName="3" name="Дата заявки" queryTableFieldId="3" dataDxfId="9"/>
    <tableColumn id="18" xr3:uid="{45FCC8FE-2C00-4A21-ACD8-94874E14A398}" uniqueName="18" name="Наименование" queryTableFieldId="17" dataDxfId="8"/>
    <tableColumn id="5" xr3:uid="{8FAD2F8D-9395-4A58-ACD2-8AD5566A0A8F}" uniqueName="5" name="Кол-во м.п. по ЗНОМ" queryTableFieldId="5"/>
    <tableColumn id="6" xr3:uid="{452E1B3D-2196-4714-876D-5C3C91518C64}" uniqueName="6" name="ЗНП" queryTableFieldId="6"/>
    <tableColumn id="7" xr3:uid="{E6FC9064-514F-48BB-B704-3DB7E8FD8549}" uniqueName="7" name="Бронь перемещ" queryTableFieldId="7"/>
    <tableColumn id="8" xr3:uid="{6D5BD1F0-6E32-4186-9B34-77DCDFAA7FB1}" uniqueName="8" name="ЗНС" queryTableFieldId="8"/>
    <tableColumn id="9" xr3:uid="{4ACF56CB-A85E-49AB-928D-4E7F795D295F}" uniqueName="9" name="Перемещено" queryTableFieldId="9"/>
    <tableColumn id="10" xr3:uid="{0459ACAB-5B46-45F1-BD62-DAF368C37A99}" uniqueName="10" name="Продукция" queryTableFieldId="10" dataDxfId="7"/>
    <tableColumn id="11" xr3:uid="{6787CD6C-DE69-4E4C-B367-9BC38E6761DD}" uniqueName="11" name="Кол-во по заявке" queryTableFieldId="11"/>
    <tableColumn id="12" xr3:uid="{D0F51065-76BA-42EC-9CDB-F9487F58D6A3}" uniqueName="12" name="Цена за м.п." queryTableFieldId="12"/>
    <tableColumn id="13" xr3:uid="{4533A52D-F61F-44B8-BB26-7362C8D9674E}" uniqueName="13" name="Сумма руб" queryTableFieldId="13"/>
    <tableColumn id="14" xr3:uid="{55BDACEE-DF89-4936-8885-F2C781BFB2CE}" uniqueName="14" name="Бронь под обр" queryTableFieldId="14"/>
    <tableColumn id="15" xr3:uid="{3339B761-2990-4C9D-B59D-0094BAEBF491}" uniqueName="15" name="Обработано" queryTableFieldId="15"/>
    <tableColumn id="16" xr3:uid="{5C2B96BA-2E59-4412-8C23-8AC00419471E}" uniqueName="16" name="Примечание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5E98-5E9A-4C1B-BCE4-F99EE369D3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722E-2233-40F5-A516-C96F13073000}">
  <dimension ref="A1:K17"/>
  <sheetViews>
    <sheetView tabSelected="1" workbookViewId="0">
      <selection activeCell="J1" sqref="J1:J1048576"/>
    </sheetView>
  </sheetViews>
  <sheetFormatPr defaultRowHeight="14.4" x14ac:dyDescent="0.3"/>
  <cols>
    <col min="1" max="1" width="25.33203125" customWidth="1"/>
    <col min="2" max="2" width="15.44140625" customWidth="1"/>
    <col min="3" max="4" width="89.6640625" bestFit="1" customWidth="1"/>
    <col min="5" max="5" width="25.88671875" bestFit="1" customWidth="1"/>
    <col min="6" max="6" width="22.33203125" bestFit="1" customWidth="1"/>
    <col min="7" max="7" width="16.77734375" bestFit="1" customWidth="1"/>
    <col min="8" max="8" width="24.44140625" bestFit="1" customWidth="1"/>
    <col min="9" max="9" width="16" bestFit="1" customWidth="1"/>
    <col min="10" max="10" width="11.33203125" bestFit="1" customWidth="1"/>
  </cols>
  <sheetData>
    <row r="1" spans="1:11" x14ac:dyDescent="0.3">
      <c r="A1" t="s">
        <v>285</v>
      </c>
      <c r="B1" t="s">
        <v>285</v>
      </c>
      <c r="C1" t="s">
        <v>285</v>
      </c>
      <c r="D1" t="s">
        <v>285</v>
      </c>
      <c r="E1" t="s">
        <v>285</v>
      </c>
      <c r="F1" t="s">
        <v>286</v>
      </c>
      <c r="G1" t="s">
        <v>286</v>
      </c>
      <c r="H1" t="s">
        <v>286</v>
      </c>
      <c r="I1" t="s">
        <v>288</v>
      </c>
      <c r="J1" t="s">
        <v>292</v>
      </c>
      <c r="K1" t="s">
        <v>288</v>
      </c>
    </row>
    <row r="2" spans="1:11" x14ac:dyDescent="0.3">
      <c r="A2" s="3" t="s">
        <v>2</v>
      </c>
      <c r="B2" s="3" t="s">
        <v>294</v>
      </c>
      <c r="C2" s="3" t="s">
        <v>1</v>
      </c>
      <c r="D2" s="3" t="s">
        <v>6</v>
      </c>
      <c r="E2" t="s">
        <v>280</v>
      </c>
      <c r="F2" t="s">
        <v>281</v>
      </c>
      <c r="G2" t="s">
        <v>291</v>
      </c>
      <c r="H2" t="s">
        <v>290</v>
      </c>
      <c r="I2" t="s">
        <v>289</v>
      </c>
      <c r="J2" t="s">
        <v>287</v>
      </c>
      <c r="K2" t="s">
        <v>293</v>
      </c>
    </row>
    <row r="3" spans="1:11" x14ac:dyDescent="0.3">
      <c r="A3" s="2">
        <v>45973</v>
      </c>
      <c r="B3" t="s">
        <v>295</v>
      </c>
      <c r="C3" t="s">
        <v>18</v>
      </c>
      <c r="D3" t="s">
        <v>22</v>
      </c>
      <c r="E3" s="1">
        <v>245</v>
      </c>
      <c r="F3" s="1">
        <v>49</v>
      </c>
      <c r="G3" s="1">
        <v>245</v>
      </c>
      <c r="H3" s="1">
        <v>245</v>
      </c>
      <c r="I3" s="1">
        <v>245</v>
      </c>
      <c r="K3">
        <f>I3-J3</f>
        <v>245</v>
      </c>
    </row>
    <row r="4" spans="1:11" x14ac:dyDescent="0.3">
      <c r="D4" t="s">
        <v>24</v>
      </c>
      <c r="E4" s="1">
        <v>129.36000000000001</v>
      </c>
      <c r="F4" s="1">
        <v>28</v>
      </c>
      <c r="G4" s="1">
        <v>129.36000000000001</v>
      </c>
      <c r="H4" s="1">
        <v>129.36000000000001</v>
      </c>
      <c r="I4" s="1">
        <v>129.36000000000001</v>
      </c>
      <c r="J4">
        <v>14</v>
      </c>
      <c r="K4">
        <f>I4-J4</f>
        <v>115.36000000000001</v>
      </c>
    </row>
    <row r="5" spans="1:11" x14ac:dyDescent="0.3">
      <c r="C5" t="s">
        <v>26</v>
      </c>
      <c r="D5" t="s">
        <v>29</v>
      </c>
      <c r="E5" s="1">
        <v>5.0999999999999996</v>
      </c>
      <c r="F5" s="1">
        <v>1</v>
      </c>
      <c r="G5" s="1">
        <v>5.0999999999999996</v>
      </c>
      <c r="H5" s="1">
        <v>5.0999999999999996</v>
      </c>
      <c r="I5" s="1">
        <v>5.0999999999999996</v>
      </c>
      <c r="K5">
        <f>I5-J5</f>
        <v>5.0999999999999996</v>
      </c>
    </row>
    <row r="6" spans="1:11" x14ac:dyDescent="0.3">
      <c r="D6" t="s">
        <v>28</v>
      </c>
      <c r="E6" s="1">
        <v>25</v>
      </c>
      <c r="F6" s="1">
        <v>5</v>
      </c>
      <c r="G6" s="1"/>
      <c r="H6" s="1"/>
      <c r="I6" s="1"/>
      <c r="K6">
        <f>I6-J6</f>
        <v>0</v>
      </c>
    </row>
    <row r="7" spans="1:11" x14ac:dyDescent="0.3">
      <c r="D7" t="s">
        <v>31</v>
      </c>
      <c r="E7" s="1">
        <v>115</v>
      </c>
      <c r="F7" s="1">
        <v>23</v>
      </c>
      <c r="G7" s="1">
        <v>115</v>
      </c>
      <c r="H7" s="1">
        <v>115</v>
      </c>
      <c r="I7" s="1">
        <v>115</v>
      </c>
      <c r="J7">
        <v>20</v>
      </c>
      <c r="K7">
        <f>I7-J7</f>
        <v>95</v>
      </c>
    </row>
    <row r="8" spans="1:11" x14ac:dyDescent="0.3">
      <c r="D8" t="s">
        <v>35</v>
      </c>
      <c r="E8" s="1">
        <v>40</v>
      </c>
      <c r="F8" s="1">
        <v>8</v>
      </c>
      <c r="G8" s="1">
        <v>40</v>
      </c>
      <c r="H8" s="1">
        <v>40</v>
      </c>
      <c r="I8" s="1">
        <v>40</v>
      </c>
      <c r="K8">
        <f>I8-J8</f>
        <v>40</v>
      </c>
    </row>
    <row r="9" spans="1:11" x14ac:dyDescent="0.3">
      <c r="D9" t="s">
        <v>37</v>
      </c>
      <c r="E9" s="1">
        <v>10</v>
      </c>
      <c r="F9" s="1">
        <v>2</v>
      </c>
      <c r="G9" s="1">
        <v>10</v>
      </c>
      <c r="H9" s="1">
        <v>10</v>
      </c>
      <c r="I9" s="1">
        <v>20</v>
      </c>
      <c r="K9">
        <f>I9-J9</f>
        <v>20</v>
      </c>
    </row>
    <row r="10" spans="1:11" x14ac:dyDescent="0.3">
      <c r="D10" t="s">
        <v>33</v>
      </c>
      <c r="E10" s="1">
        <v>10</v>
      </c>
      <c r="F10" s="1">
        <v>2</v>
      </c>
      <c r="G10" s="1">
        <v>10</v>
      </c>
      <c r="H10" s="1">
        <v>10</v>
      </c>
      <c r="I10" s="1">
        <v>20</v>
      </c>
      <c r="K10">
        <f>I10-J10</f>
        <v>20</v>
      </c>
    </row>
    <row r="11" spans="1:11" x14ac:dyDescent="0.3">
      <c r="A11" s="2">
        <v>45985</v>
      </c>
      <c r="B11" t="s">
        <v>297</v>
      </c>
      <c r="C11" t="s">
        <v>42</v>
      </c>
      <c r="D11" t="s">
        <v>43</v>
      </c>
      <c r="E11" s="1">
        <v>150</v>
      </c>
      <c r="F11" s="1">
        <v>25</v>
      </c>
      <c r="G11" s="1"/>
      <c r="H11" s="1"/>
      <c r="I11" s="1"/>
      <c r="K11">
        <f>I11-J11</f>
        <v>0</v>
      </c>
    </row>
    <row r="12" spans="1:11" x14ac:dyDescent="0.3">
      <c r="C12" t="s">
        <v>45</v>
      </c>
      <c r="D12" t="s">
        <v>46</v>
      </c>
      <c r="E12" s="1">
        <v>516</v>
      </c>
      <c r="F12" s="1">
        <v>86</v>
      </c>
      <c r="G12" s="1">
        <v>516</v>
      </c>
      <c r="H12" s="1">
        <v>516</v>
      </c>
      <c r="I12" s="1">
        <v>516</v>
      </c>
      <c r="K12">
        <f>I12-J12</f>
        <v>516</v>
      </c>
    </row>
    <row r="13" spans="1:11" x14ac:dyDescent="0.3">
      <c r="C13" t="s">
        <v>48</v>
      </c>
      <c r="D13" t="s">
        <v>49</v>
      </c>
      <c r="E13" s="1">
        <v>1524.6</v>
      </c>
      <c r="F13" s="1">
        <v>252</v>
      </c>
      <c r="G13" s="1">
        <v>1524.6</v>
      </c>
      <c r="H13" s="1">
        <v>1524.6</v>
      </c>
      <c r="I13" s="1">
        <v>1524.6</v>
      </c>
      <c r="K13">
        <f>I13-J13</f>
        <v>1524.6</v>
      </c>
    </row>
    <row r="14" spans="1:11" x14ac:dyDescent="0.3">
      <c r="C14" t="s">
        <v>51</v>
      </c>
      <c r="D14" t="s">
        <v>52</v>
      </c>
      <c r="E14" s="1">
        <v>2940</v>
      </c>
      <c r="F14" s="1">
        <v>490</v>
      </c>
      <c r="G14" s="1">
        <v>2940</v>
      </c>
      <c r="H14" s="1">
        <v>2940</v>
      </c>
      <c r="I14" s="1">
        <v>2940</v>
      </c>
      <c r="K14">
        <f>I14-J14</f>
        <v>2940</v>
      </c>
    </row>
    <row r="15" spans="1:11" x14ac:dyDescent="0.3">
      <c r="B15" t="s">
        <v>295</v>
      </c>
      <c r="C15" t="s">
        <v>54</v>
      </c>
      <c r="D15" t="s">
        <v>55</v>
      </c>
      <c r="E15" s="1">
        <v>658.05</v>
      </c>
      <c r="F15" s="1">
        <v>123</v>
      </c>
      <c r="G15" s="1">
        <v>658.05</v>
      </c>
      <c r="H15" s="1">
        <v>658.05</v>
      </c>
      <c r="I15" s="1">
        <v>658.05</v>
      </c>
      <c r="K15">
        <f>I15-J15</f>
        <v>658.05</v>
      </c>
    </row>
    <row r="16" spans="1:11" x14ac:dyDescent="0.3">
      <c r="A16" s="2">
        <v>45986</v>
      </c>
      <c r="B16" t="s">
        <v>295</v>
      </c>
      <c r="C16" t="s">
        <v>39</v>
      </c>
      <c r="D16" t="s">
        <v>40</v>
      </c>
      <c r="E16" s="1">
        <v>300</v>
      </c>
      <c r="F16" s="1">
        <v>50</v>
      </c>
      <c r="G16" s="1">
        <v>300</v>
      </c>
      <c r="H16" s="1">
        <v>300</v>
      </c>
      <c r="I16" s="1">
        <v>300</v>
      </c>
      <c r="K16">
        <f>I16-J16</f>
        <v>300</v>
      </c>
    </row>
    <row r="17" spans="3:9" x14ac:dyDescent="0.3">
      <c r="C17" t="s">
        <v>57</v>
      </c>
      <c r="D17" t="s">
        <v>58</v>
      </c>
      <c r="E17" s="1">
        <v>900</v>
      </c>
      <c r="F17" s="1">
        <v>150</v>
      </c>
      <c r="G17" s="1"/>
      <c r="H17" s="1"/>
      <c r="I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9703-C5C4-484A-8A20-50EE2005D7BD}">
  <dimension ref="A1:U16"/>
  <sheetViews>
    <sheetView workbookViewId="0">
      <selection sqref="A1:T16"/>
    </sheetView>
  </sheetViews>
  <sheetFormatPr defaultRowHeight="14.4" x14ac:dyDescent="0.3"/>
  <cols>
    <col min="1" max="1" width="15" bestFit="1" customWidth="1"/>
    <col min="2" max="2" width="11.77734375" bestFit="1" customWidth="1"/>
    <col min="3" max="3" width="13.77734375" bestFit="1" customWidth="1"/>
    <col min="4" max="4" width="16.88671875" bestFit="1" customWidth="1"/>
    <col min="5" max="5" width="13.88671875" bestFit="1" customWidth="1"/>
    <col min="6" max="6" width="33.88671875" bestFit="1" customWidth="1"/>
    <col min="7" max="7" width="9.109375" bestFit="1" customWidth="1"/>
    <col min="8" max="8" width="80.88671875" bestFit="1" customWidth="1"/>
    <col min="9" max="9" width="13.33203125" bestFit="1" customWidth="1"/>
    <col min="10" max="10" width="9.88671875" bestFit="1" customWidth="1"/>
    <col min="11" max="11" width="12" bestFit="1" customWidth="1"/>
    <col min="12" max="12" width="10.33203125" bestFit="1" customWidth="1"/>
    <col min="13" max="13" width="11.21875" bestFit="1" customWidth="1"/>
    <col min="14" max="14" width="9" bestFit="1" customWidth="1"/>
    <col min="15" max="15" width="16" bestFit="1" customWidth="1"/>
    <col min="16" max="16" width="11.77734375" bestFit="1" customWidth="1"/>
    <col min="17" max="17" width="10.5546875" bestFit="1" customWidth="1"/>
    <col min="18" max="18" width="14" bestFit="1" customWidth="1"/>
    <col min="19" max="19" width="21.77734375" bestFit="1" customWidth="1"/>
    <col min="20" max="20" width="23.21875" bestFit="1" customWidth="1"/>
    <col min="21" max="21" width="2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294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282</v>
      </c>
      <c r="T1" t="s">
        <v>283</v>
      </c>
      <c r="U1" t="s">
        <v>284</v>
      </c>
    </row>
    <row r="2" spans="1:21" x14ac:dyDescent="0.3">
      <c r="A2" s="1" t="s">
        <v>17</v>
      </c>
      <c r="B2" s="1" t="s">
        <v>18</v>
      </c>
      <c r="C2" s="2">
        <v>45973</v>
      </c>
      <c r="D2" s="1" t="s">
        <v>19</v>
      </c>
      <c r="E2" s="1" t="s">
        <v>20</v>
      </c>
      <c r="F2" t="s">
        <v>295</v>
      </c>
      <c r="G2" s="1" t="s">
        <v>21</v>
      </c>
      <c r="H2" s="1" t="s">
        <v>22</v>
      </c>
      <c r="I2" s="1">
        <v>245</v>
      </c>
      <c r="J2" s="1">
        <v>49</v>
      </c>
      <c r="K2" s="1">
        <v>0.41</v>
      </c>
      <c r="L2" s="1">
        <v>1.974</v>
      </c>
      <c r="M2" s="1">
        <v>100.45</v>
      </c>
      <c r="N2" s="1">
        <v>483.63</v>
      </c>
      <c r="O2" s="1">
        <v>13.06</v>
      </c>
      <c r="P2" s="1">
        <v>238.78</v>
      </c>
      <c r="Q2" s="1">
        <v>582.38</v>
      </c>
      <c r="R2" s="1">
        <v>58500</v>
      </c>
      <c r="S2">
        <v>245</v>
      </c>
      <c r="T2">
        <v>245</v>
      </c>
      <c r="U2">
        <v>245</v>
      </c>
    </row>
    <row r="3" spans="1:21" x14ac:dyDescent="0.3">
      <c r="A3" s="1" t="s">
        <v>17</v>
      </c>
      <c r="B3" s="1" t="s">
        <v>18</v>
      </c>
      <c r="C3" s="2">
        <v>45973</v>
      </c>
      <c r="D3" s="1" t="s">
        <v>19</v>
      </c>
      <c r="E3" s="1" t="s">
        <v>20</v>
      </c>
      <c r="F3" t="s">
        <v>295</v>
      </c>
      <c r="G3" s="1" t="s">
        <v>23</v>
      </c>
      <c r="H3" s="1" t="s">
        <v>24</v>
      </c>
      <c r="I3" s="1">
        <v>129.36000000000001</v>
      </c>
      <c r="J3" s="1">
        <v>28</v>
      </c>
      <c r="K3" s="1">
        <v>0.41</v>
      </c>
      <c r="L3" s="1">
        <v>1.974</v>
      </c>
      <c r="M3" s="1">
        <v>53.037599999999998</v>
      </c>
      <c r="N3" s="1">
        <v>255.35659999999999</v>
      </c>
      <c r="O3" s="1">
        <v>6.89</v>
      </c>
      <c r="P3" s="1">
        <v>301.48</v>
      </c>
      <c r="Q3" s="1">
        <v>735.33</v>
      </c>
      <c r="R3" s="1">
        <v>39000</v>
      </c>
      <c r="S3">
        <v>129.36000000000001</v>
      </c>
      <c r="T3">
        <v>129.36000000000001</v>
      </c>
      <c r="U3">
        <v>129.36000000000001</v>
      </c>
    </row>
    <row r="4" spans="1:21" x14ac:dyDescent="0.3">
      <c r="A4" s="1" t="s">
        <v>25</v>
      </c>
      <c r="B4" s="1" t="s">
        <v>26</v>
      </c>
      <c r="C4" s="2">
        <v>45973</v>
      </c>
      <c r="D4" s="1" t="s">
        <v>296</v>
      </c>
      <c r="E4" s="1" t="s">
        <v>27</v>
      </c>
      <c r="F4" t="s">
        <v>295</v>
      </c>
      <c r="G4" s="1" t="s">
        <v>23</v>
      </c>
      <c r="H4" s="1" t="s">
        <v>29</v>
      </c>
      <c r="I4" s="1">
        <v>5.0999999999999996</v>
      </c>
      <c r="J4" s="1">
        <v>1</v>
      </c>
      <c r="K4" s="1">
        <v>0.1797</v>
      </c>
      <c r="L4" s="1">
        <v>0.39400000000000002</v>
      </c>
      <c r="M4" s="1">
        <v>0.91649999999999998</v>
      </c>
      <c r="N4" s="1">
        <v>2.0093999999999999</v>
      </c>
      <c r="O4" s="1">
        <v>0.12</v>
      </c>
      <c r="P4" s="1">
        <v>53.91</v>
      </c>
      <c r="Q4" s="1">
        <v>300</v>
      </c>
      <c r="R4" s="1">
        <v>274.94</v>
      </c>
      <c r="S4">
        <v>5.0999999999999996</v>
      </c>
      <c r="T4">
        <v>5.0999999999999996</v>
      </c>
      <c r="U4">
        <v>5.0999999999999996</v>
      </c>
    </row>
    <row r="5" spans="1:21" x14ac:dyDescent="0.3">
      <c r="A5" s="1" t="s">
        <v>25</v>
      </c>
      <c r="B5" s="1" t="s">
        <v>26</v>
      </c>
      <c r="C5" s="2">
        <v>45973</v>
      </c>
      <c r="D5" s="1" t="s">
        <v>296</v>
      </c>
      <c r="E5" s="1" t="s">
        <v>27</v>
      </c>
      <c r="F5" t="s">
        <v>295</v>
      </c>
      <c r="G5" s="1" t="s">
        <v>30</v>
      </c>
      <c r="H5" s="1" t="s">
        <v>31</v>
      </c>
      <c r="I5" s="1">
        <v>115</v>
      </c>
      <c r="J5" s="1">
        <v>23</v>
      </c>
      <c r="K5" s="1">
        <v>0.1827</v>
      </c>
      <c r="L5" s="1">
        <v>0.36899999999999999</v>
      </c>
      <c r="M5" s="1">
        <v>21.0105</v>
      </c>
      <c r="N5" s="1">
        <v>42.435000000000002</v>
      </c>
      <c r="O5" s="1">
        <v>2.73</v>
      </c>
      <c r="P5" s="1">
        <v>54.81</v>
      </c>
      <c r="Q5" s="1">
        <v>300</v>
      </c>
      <c r="R5" s="1">
        <v>6303.15</v>
      </c>
      <c r="S5">
        <v>115</v>
      </c>
      <c r="T5">
        <v>115</v>
      </c>
      <c r="U5">
        <v>115</v>
      </c>
    </row>
    <row r="6" spans="1:21" x14ac:dyDescent="0.3">
      <c r="A6" s="1" t="s">
        <v>25</v>
      </c>
      <c r="B6" s="1" t="s">
        <v>26</v>
      </c>
      <c r="C6" s="2">
        <v>45973</v>
      </c>
      <c r="D6" s="1" t="s">
        <v>296</v>
      </c>
      <c r="E6" s="1" t="s">
        <v>27</v>
      </c>
      <c r="F6" t="s">
        <v>295</v>
      </c>
      <c r="G6" s="1" t="s">
        <v>32</v>
      </c>
      <c r="H6" s="1" t="s">
        <v>33</v>
      </c>
      <c r="I6" s="1">
        <v>10</v>
      </c>
      <c r="J6" s="1">
        <v>2</v>
      </c>
      <c r="K6" s="1">
        <v>0.19420000000000001</v>
      </c>
      <c r="L6" s="1">
        <v>0.41799999999999998</v>
      </c>
      <c r="M6" s="1">
        <v>1.9419999999999999</v>
      </c>
      <c r="N6" s="1">
        <v>4.18</v>
      </c>
      <c r="O6" s="1">
        <v>0.25</v>
      </c>
      <c r="P6" s="1">
        <v>58.26</v>
      </c>
      <c r="Q6" s="1">
        <v>300</v>
      </c>
      <c r="R6" s="1">
        <v>582.6</v>
      </c>
      <c r="S6">
        <v>10</v>
      </c>
      <c r="T6">
        <v>10</v>
      </c>
      <c r="U6">
        <v>20</v>
      </c>
    </row>
    <row r="7" spans="1:21" x14ac:dyDescent="0.3">
      <c r="A7" s="1" t="s">
        <v>25</v>
      </c>
      <c r="B7" s="1" t="s">
        <v>26</v>
      </c>
      <c r="C7" s="2">
        <v>45973</v>
      </c>
      <c r="D7" s="1" t="s">
        <v>296</v>
      </c>
      <c r="E7" s="1" t="s">
        <v>27</v>
      </c>
      <c r="F7" t="s">
        <v>295</v>
      </c>
      <c r="G7" s="1" t="s">
        <v>34</v>
      </c>
      <c r="H7" s="1" t="s">
        <v>35</v>
      </c>
      <c r="I7" s="1">
        <v>40</v>
      </c>
      <c r="J7" s="1">
        <v>8</v>
      </c>
      <c r="K7" s="1">
        <v>0.27189999999999998</v>
      </c>
      <c r="L7" s="1">
        <v>0.50600000000000001</v>
      </c>
      <c r="M7" s="1">
        <v>10.875999999999999</v>
      </c>
      <c r="N7" s="1">
        <v>20.239999999999998</v>
      </c>
      <c r="O7" s="1">
        <v>1.41</v>
      </c>
      <c r="P7" s="1">
        <v>81.569999999999993</v>
      </c>
      <c r="Q7" s="1">
        <v>300</v>
      </c>
      <c r="R7" s="1">
        <v>3262.8</v>
      </c>
      <c r="S7">
        <v>40</v>
      </c>
      <c r="T7">
        <v>40</v>
      </c>
      <c r="U7">
        <v>40</v>
      </c>
    </row>
    <row r="8" spans="1:21" x14ac:dyDescent="0.3">
      <c r="A8" s="1" t="s">
        <v>25</v>
      </c>
      <c r="B8" s="1" t="s">
        <v>26</v>
      </c>
      <c r="C8" s="2">
        <v>45973</v>
      </c>
      <c r="D8" s="1" t="s">
        <v>296</v>
      </c>
      <c r="E8" s="1" t="s">
        <v>27</v>
      </c>
      <c r="F8" t="s">
        <v>295</v>
      </c>
      <c r="G8" s="1" t="s">
        <v>36</v>
      </c>
      <c r="H8" s="1" t="s">
        <v>37</v>
      </c>
      <c r="I8" s="1">
        <v>10</v>
      </c>
      <c r="J8" s="1">
        <v>2</v>
      </c>
      <c r="K8" s="1">
        <v>0.19420000000000001</v>
      </c>
      <c r="L8" s="1">
        <v>0.41799999999999998</v>
      </c>
      <c r="M8" s="1">
        <v>1.9419999999999999</v>
      </c>
      <c r="N8" s="1">
        <v>4.18</v>
      </c>
      <c r="O8" s="1">
        <v>0.25</v>
      </c>
      <c r="P8" s="1">
        <v>58.26</v>
      </c>
      <c r="Q8" s="1">
        <v>300</v>
      </c>
      <c r="R8" s="1">
        <v>582.6</v>
      </c>
      <c r="S8">
        <v>10</v>
      </c>
      <c r="T8">
        <v>10</v>
      </c>
      <c r="U8">
        <v>20</v>
      </c>
    </row>
    <row r="9" spans="1:21" x14ac:dyDescent="0.3">
      <c r="A9" s="1" t="s">
        <v>44</v>
      </c>
      <c r="B9" s="1" t="s">
        <v>45</v>
      </c>
      <c r="C9" s="2">
        <v>45985</v>
      </c>
      <c r="D9" s="1" t="s">
        <v>19</v>
      </c>
      <c r="E9" s="1" t="s">
        <v>20</v>
      </c>
      <c r="F9" t="s">
        <v>297</v>
      </c>
      <c r="G9" s="1" t="s">
        <v>21</v>
      </c>
      <c r="H9" s="1" t="s">
        <v>46</v>
      </c>
      <c r="I9" s="1">
        <v>516</v>
      </c>
      <c r="J9" s="1">
        <v>86</v>
      </c>
      <c r="K9" s="1">
        <v>0.31109999999999999</v>
      </c>
      <c r="L9" s="1">
        <v>1.7769999999999999</v>
      </c>
      <c r="M9" s="1">
        <v>160.52760000000001</v>
      </c>
      <c r="N9" s="1">
        <v>916.93200000000002</v>
      </c>
      <c r="O9" s="1">
        <v>20.87</v>
      </c>
      <c r="P9" s="1">
        <v>158.66</v>
      </c>
      <c r="Q9" s="1">
        <v>510</v>
      </c>
      <c r="R9" s="1">
        <v>81869.08</v>
      </c>
      <c r="S9">
        <v>516</v>
      </c>
      <c r="T9">
        <v>516</v>
      </c>
      <c r="U9">
        <v>516</v>
      </c>
    </row>
    <row r="10" spans="1:21" x14ac:dyDescent="0.3">
      <c r="A10" s="1" t="s">
        <v>47</v>
      </c>
      <c r="B10" s="1" t="s">
        <v>48</v>
      </c>
      <c r="C10" s="2">
        <v>45985</v>
      </c>
      <c r="D10" s="1" t="s">
        <v>19</v>
      </c>
      <c r="E10" s="1" t="s">
        <v>20</v>
      </c>
      <c r="F10" t="s">
        <v>297</v>
      </c>
      <c r="G10" s="1" t="s">
        <v>21</v>
      </c>
      <c r="H10" s="1" t="s">
        <v>49</v>
      </c>
      <c r="I10" s="1">
        <v>1524.6</v>
      </c>
      <c r="J10" s="1">
        <v>252</v>
      </c>
      <c r="K10" s="1">
        <v>0.1822</v>
      </c>
      <c r="L10" s="1">
        <v>0.81499999999999995</v>
      </c>
      <c r="M10" s="1">
        <v>277.78210000000001</v>
      </c>
      <c r="N10" s="1">
        <v>1242.549</v>
      </c>
      <c r="O10" s="1">
        <v>36.11</v>
      </c>
      <c r="P10" s="1">
        <v>89.28</v>
      </c>
      <c r="Q10" s="1">
        <v>490</v>
      </c>
      <c r="R10" s="1">
        <v>136113.24</v>
      </c>
      <c r="S10">
        <v>1524.6</v>
      </c>
      <c r="T10">
        <v>1524.6</v>
      </c>
      <c r="U10">
        <v>1524.6</v>
      </c>
    </row>
    <row r="11" spans="1:21" x14ac:dyDescent="0.3">
      <c r="A11" s="1" t="s">
        <v>50</v>
      </c>
      <c r="B11" s="1" t="s">
        <v>51</v>
      </c>
      <c r="C11" s="2">
        <v>45985</v>
      </c>
      <c r="D11" s="1" t="s">
        <v>19</v>
      </c>
      <c r="E11" s="1" t="s">
        <v>20</v>
      </c>
      <c r="F11" t="s">
        <v>297</v>
      </c>
      <c r="G11" s="1" t="s">
        <v>21</v>
      </c>
      <c r="H11" s="1" t="s">
        <v>52</v>
      </c>
      <c r="I11" s="1">
        <v>2940</v>
      </c>
      <c r="J11" s="1">
        <v>490</v>
      </c>
      <c r="K11" s="1">
        <v>0.10100000000000001</v>
      </c>
      <c r="L11" s="1">
        <v>0.30599999999999999</v>
      </c>
      <c r="M11" s="1">
        <v>296.94</v>
      </c>
      <c r="N11" s="1">
        <v>899.64</v>
      </c>
      <c r="O11" s="1">
        <v>38.6</v>
      </c>
      <c r="P11" s="1">
        <v>53.83</v>
      </c>
      <c r="Q11" s="1">
        <v>533</v>
      </c>
      <c r="R11" s="1">
        <v>158269.01999999999</v>
      </c>
      <c r="S11">
        <v>2940</v>
      </c>
      <c r="T11">
        <v>2940</v>
      </c>
      <c r="U11">
        <v>2940</v>
      </c>
    </row>
    <row r="12" spans="1:21" x14ac:dyDescent="0.3">
      <c r="A12" s="1" t="s">
        <v>53</v>
      </c>
      <c r="B12" s="1" t="s">
        <v>54</v>
      </c>
      <c r="C12" s="2">
        <v>45985</v>
      </c>
      <c r="D12" s="1" t="s">
        <v>19</v>
      </c>
      <c r="E12" s="1" t="s">
        <v>20</v>
      </c>
      <c r="F12" t="s">
        <v>295</v>
      </c>
      <c r="G12" s="1" t="s">
        <v>21</v>
      </c>
      <c r="H12" s="1" t="s">
        <v>55</v>
      </c>
      <c r="I12">
        <v>658.05</v>
      </c>
      <c r="J12">
        <v>123</v>
      </c>
      <c r="K12">
        <v>0.2651</v>
      </c>
      <c r="L12">
        <v>0.82099999999999995</v>
      </c>
      <c r="M12">
        <v>174.44909999999999</v>
      </c>
      <c r="N12">
        <v>540.25909999999999</v>
      </c>
      <c r="O12">
        <v>22.68</v>
      </c>
      <c r="P12">
        <v>129.9</v>
      </c>
      <c r="Q12">
        <v>490</v>
      </c>
      <c r="R12">
        <v>85480.7</v>
      </c>
      <c r="S12">
        <v>658.05</v>
      </c>
      <c r="T12">
        <v>658.05</v>
      </c>
      <c r="U12">
        <v>658.05</v>
      </c>
    </row>
    <row r="13" spans="1:21" x14ac:dyDescent="0.3">
      <c r="A13" s="1" t="s">
        <v>38</v>
      </c>
      <c r="B13" s="1" t="s">
        <v>39</v>
      </c>
      <c r="C13" s="2">
        <v>45986</v>
      </c>
      <c r="D13" s="1" t="s">
        <v>19</v>
      </c>
      <c r="E13" s="1" t="s">
        <v>27</v>
      </c>
      <c r="F13" t="s">
        <v>295</v>
      </c>
      <c r="G13" s="1" t="s">
        <v>21</v>
      </c>
      <c r="H13" s="1" t="s">
        <v>40</v>
      </c>
      <c r="I13">
        <v>300</v>
      </c>
      <c r="J13">
        <v>50</v>
      </c>
      <c r="K13">
        <v>0.13719999999999999</v>
      </c>
      <c r="L13">
        <v>0.21299999999999999</v>
      </c>
      <c r="M13">
        <v>41.16</v>
      </c>
      <c r="N13">
        <v>63.9</v>
      </c>
      <c r="O13">
        <v>5.35</v>
      </c>
      <c r="P13">
        <v>47.2</v>
      </c>
      <c r="Q13">
        <v>344</v>
      </c>
      <c r="R13">
        <v>14160</v>
      </c>
      <c r="S13">
        <v>300</v>
      </c>
      <c r="T13">
        <v>300</v>
      </c>
      <c r="U13">
        <v>300</v>
      </c>
    </row>
    <row r="14" spans="1:21" x14ac:dyDescent="0.3">
      <c r="A14" s="1" t="s">
        <v>25</v>
      </c>
      <c r="B14" s="1" t="s">
        <v>26</v>
      </c>
      <c r="C14" s="2">
        <v>45973</v>
      </c>
      <c r="D14" s="1" t="s">
        <v>296</v>
      </c>
      <c r="E14" s="1" t="s">
        <v>27</v>
      </c>
      <c r="F14" t="s">
        <v>295</v>
      </c>
      <c r="G14" s="1" t="s">
        <v>21</v>
      </c>
      <c r="H14" s="1" t="s">
        <v>28</v>
      </c>
      <c r="I14">
        <v>25</v>
      </c>
      <c r="J14">
        <v>5</v>
      </c>
      <c r="K14">
        <v>0.18360000000000001</v>
      </c>
      <c r="L14">
        <v>0.39400000000000002</v>
      </c>
      <c r="M14">
        <v>4.59</v>
      </c>
      <c r="N14">
        <v>9.85</v>
      </c>
      <c r="O14">
        <v>0.6</v>
      </c>
      <c r="P14">
        <v>55.08</v>
      </c>
      <c r="Q14">
        <v>300</v>
      </c>
      <c r="R14">
        <v>1377</v>
      </c>
    </row>
    <row r="15" spans="1:21" x14ac:dyDescent="0.3">
      <c r="A15" s="1" t="s">
        <v>41</v>
      </c>
      <c r="B15" s="1" t="s">
        <v>42</v>
      </c>
      <c r="C15" s="2">
        <v>45985</v>
      </c>
      <c r="D15" s="1" t="s">
        <v>19</v>
      </c>
      <c r="E15" s="1" t="s">
        <v>20</v>
      </c>
      <c r="F15" t="s">
        <v>297</v>
      </c>
      <c r="G15" s="1" t="s">
        <v>21</v>
      </c>
      <c r="H15" s="1" t="s">
        <v>43</v>
      </c>
      <c r="I15">
        <v>150</v>
      </c>
      <c r="J15">
        <v>25</v>
      </c>
      <c r="K15">
        <v>0.252</v>
      </c>
      <c r="L15">
        <v>0.70599999999999996</v>
      </c>
      <c r="M15">
        <v>37.799999999999997</v>
      </c>
      <c r="N15">
        <v>105.9</v>
      </c>
      <c r="O15">
        <v>4.91</v>
      </c>
      <c r="P15">
        <v>118.44</v>
      </c>
      <c r="Q15">
        <v>470</v>
      </c>
      <c r="R15">
        <v>17766</v>
      </c>
    </row>
    <row r="16" spans="1:21" x14ac:dyDescent="0.3">
      <c r="A16" s="1" t="s">
        <v>56</v>
      </c>
      <c r="B16" s="1" t="s">
        <v>57</v>
      </c>
      <c r="C16" s="2">
        <v>45986</v>
      </c>
      <c r="D16" s="1" t="s">
        <v>19</v>
      </c>
      <c r="E16" s="1" t="s">
        <v>20</v>
      </c>
      <c r="F16" t="s">
        <v>295</v>
      </c>
      <c r="G16" s="1" t="s">
        <v>21</v>
      </c>
      <c r="H16" s="1" t="s">
        <v>58</v>
      </c>
      <c r="I16">
        <v>900</v>
      </c>
      <c r="J16">
        <v>150</v>
      </c>
      <c r="K16">
        <v>7.9500000000000001E-2</v>
      </c>
      <c r="L16">
        <v>0.20599999999999999</v>
      </c>
      <c r="M16">
        <v>71.55</v>
      </c>
      <c r="N16">
        <v>185.4</v>
      </c>
      <c r="O16">
        <v>9.3000000000000007</v>
      </c>
      <c r="P16">
        <v>45.24</v>
      </c>
      <c r="Q16">
        <v>569</v>
      </c>
      <c r="R16">
        <v>40711.949999999997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8005-45E2-49DF-9F56-053292AC5209}">
  <dimension ref="A1:P73"/>
  <sheetViews>
    <sheetView workbookViewId="0">
      <selection sqref="A1:P73"/>
    </sheetView>
  </sheetViews>
  <sheetFormatPr defaultRowHeight="14.4" x14ac:dyDescent="0.3"/>
  <cols>
    <col min="1" max="1" width="15.6640625" bestFit="1" customWidth="1"/>
    <col min="2" max="2" width="11.77734375" bestFit="1" customWidth="1"/>
    <col min="3" max="3" width="13.77734375" bestFit="1" customWidth="1"/>
    <col min="4" max="4" width="80.88671875" bestFit="1" customWidth="1"/>
    <col min="5" max="5" width="22" bestFit="1" customWidth="1"/>
    <col min="6" max="6" width="8" bestFit="1" customWidth="1"/>
    <col min="7" max="7" width="17.44140625" bestFit="1" customWidth="1"/>
    <col min="8" max="8" width="8" bestFit="1" customWidth="1"/>
    <col min="9" max="9" width="14.77734375" bestFit="1" customWidth="1"/>
    <col min="10" max="10" width="80.88671875" bestFit="1" customWidth="1"/>
    <col min="11" max="11" width="18.33203125" bestFit="1" customWidth="1"/>
    <col min="12" max="12" width="14.109375" bestFit="1" customWidth="1"/>
    <col min="13" max="13" width="12.88671875" bestFit="1" customWidth="1"/>
    <col min="14" max="14" width="16.33203125" bestFit="1" customWidth="1"/>
    <col min="15" max="15" width="14" bestFit="1" customWidth="1"/>
    <col min="16" max="17" width="80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t="s">
        <v>6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 x14ac:dyDescent="0.3">
      <c r="A2" s="1" t="s">
        <v>71</v>
      </c>
      <c r="B2" s="1" t="s">
        <v>72</v>
      </c>
      <c r="C2" s="2">
        <v>45962</v>
      </c>
      <c r="D2" s="1" t="s">
        <v>73</v>
      </c>
      <c r="E2" s="1">
        <v>618</v>
      </c>
      <c r="F2" s="1">
        <v>618</v>
      </c>
      <c r="G2" s="1">
        <v>618</v>
      </c>
      <c r="H2" s="1">
        <v>618</v>
      </c>
      <c r="I2" s="1">
        <v>618</v>
      </c>
      <c r="J2" s="1" t="s">
        <v>74</v>
      </c>
      <c r="K2" s="1">
        <v>618</v>
      </c>
      <c r="L2" s="1">
        <v>142.85</v>
      </c>
      <c r="M2" s="1">
        <v>88280.06</v>
      </c>
      <c r="N2" s="1">
        <v>618</v>
      </c>
      <c r="O2" s="1">
        <v>618</v>
      </c>
      <c r="P2" s="1" t="s">
        <v>75</v>
      </c>
    </row>
    <row r="3" spans="1:16" x14ac:dyDescent="0.3">
      <c r="A3" s="1" t="s">
        <v>71</v>
      </c>
      <c r="B3" s="1" t="s">
        <v>76</v>
      </c>
      <c r="C3" s="2">
        <v>45966</v>
      </c>
      <c r="D3" s="1" t="s">
        <v>77</v>
      </c>
      <c r="E3" s="1">
        <v>310</v>
      </c>
      <c r="F3" s="1">
        <v>310</v>
      </c>
      <c r="G3" s="1">
        <v>310</v>
      </c>
      <c r="H3" s="1">
        <v>310</v>
      </c>
      <c r="I3" s="1">
        <v>310</v>
      </c>
      <c r="J3" s="1" t="s">
        <v>78</v>
      </c>
      <c r="K3" s="1">
        <v>310</v>
      </c>
      <c r="L3" s="1">
        <v>93.64</v>
      </c>
      <c r="M3" s="1">
        <v>29028.400000000001</v>
      </c>
      <c r="N3" s="1">
        <v>310</v>
      </c>
      <c r="O3" s="1">
        <v>310</v>
      </c>
      <c r="P3" s="1" t="s">
        <v>79</v>
      </c>
    </row>
    <row r="4" spans="1:16" x14ac:dyDescent="0.3">
      <c r="A4" s="1" t="s">
        <v>71</v>
      </c>
      <c r="B4" s="1" t="s">
        <v>80</v>
      </c>
      <c r="C4" s="2">
        <v>45967</v>
      </c>
      <c r="D4" s="1" t="s">
        <v>81</v>
      </c>
      <c r="E4" s="1">
        <v>215.6</v>
      </c>
      <c r="F4" s="1">
        <v>215.6</v>
      </c>
      <c r="G4" s="1">
        <v>215.6</v>
      </c>
      <c r="H4" s="1">
        <v>215.6</v>
      </c>
      <c r="I4" s="1">
        <v>215.6</v>
      </c>
      <c r="J4" s="1" t="s">
        <v>82</v>
      </c>
      <c r="K4" s="1">
        <v>215.6</v>
      </c>
      <c r="L4" s="1">
        <v>339.97</v>
      </c>
      <c r="M4" s="1">
        <v>73297.53</v>
      </c>
      <c r="N4" s="1">
        <v>215.6</v>
      </c>
      <c r="O4" s="1">
        <v>215.6</v>
      </c>
      <c r="P4" s="1" t="s">
        <v>83</v>
      </c>
    </row>
    <row r="5" spans="1:16" x14ac:dyDescent="0.3">
      <c r="A5" s="1" t="s">
        <v>71</v>
      </c>
      <c r="B5" s="1" t="s">
        <v>84</v>
      </c>
      <c r="C5" s="2">
        <v>45967</v>
      </c>
      <c r="D5" s="1" t="s">
        <v>85</v>
      </c>
      <c r="E5" s="1">
        <v>1656.4</v>
      </c>
      <c r="F5" s="1">
        <v>1656.4</v>
      </c>
      <c r="G5" s="1">
        <v>1656.4</v>
      </c>
      <c r="H5" s="1">
        <v>1656.4</v>
      </c>
      <c r="I5" s="1">
        <v>1656.4</v>
      </c>
      <c r="J5" s="1" t="s">
        <v>86</v>
      </c>
      <c r="K5" s="1">
        <v>1656.4</v>
      </c>
      <c r="L5" s="1">
        <v>77.37</v>
      </c>
      <c r="M5" s="1">
        <v>128157.32</v>
      </c>
      <c r="N5" s="1">
        <v>1656.4</v>
      </c>
      <c r="O5" s="1">
        <v>1656.4</v>
      </c>
      <c r="P5" s="1" t="s">
        <v>87</v>
      </c>
    </row>
    <row r="6" spans="1:16" x14ac:dyDescent="0.3">
      <c r="A6" s="1" t="s">
        <v>71</v>
      </c>
      <c r="B6" s="1" t="s">
        <v>84</v>
      </c>
      <c r="C6" s="2">
        <v>45967</v>
      </c>
      <c r="D6" s="1" t="s">
        <v>88</v>
      </c>
      <c r="E6" s="1">
        <v>2833.05</v>
      </c>
      <c r="F6" s="1">
        <v>2833.05</v>
      </c>
      <c r="G6" s="1">
        <v>2833.05</v>
      </c>
      <c r="H6" s="1">
        <v>2833.05</v>
      </c>
      <c r="I6" s="1">
        <v>2833.05</v>
      </c>
      <c r="J6" s="1" t="s">
        <v>89</v>
      </c>
      <c r="K6" s="1">
        <v>2833.05</v>
      </c>
      <c r="L6" s="1">
        <v>46.84</v>
      </c>
      <c r="M6" s="1">
        <v>132711.39000000001</v>
      </c>
      <c r="N6" s="1">
        <v>2833.05</v>
      </c>
      <c r="O6" s="1">
        <v>2833.05</v>
      </c>
      <c r="P6" s="1" t="s">
        <v>87</v>
      </c>
    </row>
    <row r="7" spans="1:16" x14ac:dyDescent="0.3">
      <c r="A7" s="1" t="s">
        <v>71</v>
      </c>
      <c r="B7" s="1" t="s">
        <v>84</v>
      </c>
      <c r="C7" s="2">
        <v>45967</v>
      </c>
      <c r="D7" s="1" t="s">
        <v>90</v>
      </c>
      <c r="E7" s="1">
        <v>383.8</v>
      </c>
      <c r="F7" s="1">
        <v>383.8</v>
      </c>
      <c r="G7" s="1">
        <v>383.8</v>
      </c>
      <c r="H7" s="1">
        <v>383.8</v>
      </c>
      <c r="I7" s="1">
        <v>383.8</v>
      </c>
      <c r="J7" s="1" t="s">
        <v>91</v>
      </c>
      <c r="K7" s="1">
        <v>383.8</v>
      </c>
      <c r="L7" s="1">
        <v>85.35</v>
      </c>
      <c r="M7" s="1">
        <v>32756.91</v>
      </c>
      <c r="N7" s="1">
        <v>383.8</v>
      </c>
      <c r="O7" s="1">
        <v>383.8</v>
      </c>
      <c r="P7" s="1" t="s">
        <v>87</v>
      </c>
    </row>
    <row r="8" spans="1:16" x14ac:dyDescent="0.3">
      <c r="A8" s="1" t="s">
        <v>71</v>
      </c>
      <c r="B8" s="1" t="s">
        <v>92</v>
      </c>
      <c r="C8" s="2">
        <v>45967</v>
      </c>
      <c r="D8" s="1" t="s">
        <v>93</v>
      </c>
      <c r="E8" s="1">
        <v>39</v>
      </c>
      <c r="F8" s="1"/>
      <c r="G8" s="1"/>
      <c r="H8" s="1"/>
      <c r="I8" s="1"/>
      <c r="J8" s="1" t="s">
        <v>94</v>
      </c>
      <c r="K8" s="1">
        <v>39</v>
      </c>
      <c r="L8" s="1">
        <v>7.69</v>
      </c>
      <c r="M8" s="1">
        <v>300</v>
      </c>
      <c r="N8" s="1">
        <v>39</v>
      </c>
      <c r="O8" s="1">
        <v>39</v>
      </c>
      <c r="P8" s="1" t="s">
        <v>95</v>
      </c>
    </row>
    <row r="9" spans="1:16" x14ac:dyDescent="0.3">
      <c r="A9" s="1" t="s">
        <v>71</v>
      </c>
      <c r="B9" s="1" t="s">
        <v>92</v>
      </c>
      <c r="C9" s="2">
        <v>45967</v>
      </c>
      <c r="D9" s="1" t="s">
        <v>96</v>
      </c>
      <c r="E9" s="1">
        <v>39</v>
      </c>
      <c r="F9" s="1"/>
      <c r="G9" s="1"/>
      <c r="H9" s="1"/>
      <c r="I9" s="1"/>
      <c r="J9" s="1" t="s">
        <v>97</v>
      </c>
      <c r="K9" s="1">
        <v>39</v>
      </c>
      <c r="L9" s="1">
        <v>7.69</v>
      </c>
      <c r="M9" s="1">
        <v>300</v>
      </c>
      <c r="N9" s="1">
        <v>39</v>
      </c>
      <c r="O9" s="1">
        <v>39</v>
      </c>
      <c r="P9" s="1" t="s">
        <v>95</v>
      </c>
    </row>
    <row r="10" spans="1:16" x14ac:dyDescent="0.3">
      <c r="A10" s="1" t="s">
        <v>71</v>
      </c>
      <c r="B10" s="1" t="s">
        <v>92</v>
      </c>
      <c r="C10" s="2">
        <v>45967</v>
      </c>
      <c r="D10" s="1" t="s">
        <v>98</v>
      </c>
      <c r="E10" s="1">
        <v>39</v>
      </c>
      <c r="F10" s="1"/>
      <c r="G10" s="1"/>
      <c r="H10" s="1"/>
      <c r="I10" s="1"/>
      <c r="J10" s="1" t="s">
        <v>99</v>
      </c>
      <c r="K10" s="1">
        <v>39</v>
      </c>
      <c r="L10" s="1">
        <v>7.69</v>
      </c>
      <c r="M10" s="1">
        <v>300</v>
      </c>
      <c r="N10" s="1">
        <v>39</v>
      </c>
      <c r="O10" s="1">
        <v>39</v>
      </c>
      <c r="P10" s="1" t="s">
        <v>95</v>
      </c>
    </row>
    <row r="11" spans="1:16" x14ac:dyDescent="0.3">
      <c r="A11" s="1" t="s">
        <v>71</v>
      </c>
      <c r="B11" s="1" t="s">
        <v>92</v>
      </c>
      <c r="C11" s="2">
        <v>45967</v>
      </c>
      <c r="D11" s="1" t="s">
        <v>100</v>
      </c>
      <c r="E11" s="1">
        <v>54</v>
      </c>
      <c r="F11" s="1"/>
      <c r="G11" s="1"/>
      <c r="H11" s="1"/>
      <c r="I11" s="1"/>
      <c r="J11" s="1" t="s">
        <v>101</v>
      </c>
      <c r="K11" s="1">
        <v>54</v>
      </c>
      <c r="L11" s="1">
        <v>5</v>
      </c>
      <c r="M11" s="1">
        <v>270</v>
      </c>
      <c r="N11" s="1">
        <v>54</v>
      </c>
      <c r="O11" s="1">
        <v>54</v>
      </c>
      <c r="P11" s="1" t="s">
        <v>95</v>
      </c>
    </row>
    <row r="12" spans="1:16" x14ac:dyDescent="0.3">
      <c r="A12" s="1" t="s">
        <v>71</v>
      </c>
      <c r="B12" s="1" t="s">
        <v>102</v>
      </c>
      <c r="C12" s="2">
        <v>45971</v>
      </c>
      <c r="D12" s="1" t="s">
        <v>103</v>
      </c>
      <c r="E12" s="1">
        <v>226.8</v>
      </c>
      <c r="F12" s="1">
        <v>226.8</v>
      </c>
      <c r="G12" s="1">
        <v>226.8</v>
      </c>
      <c r="H12" s="1">
        <v>226.8</v>
      </c>
      <c r="I12" s="1">
        <v>226.8</v>
      </c>
      <c r="J12" s="1" t="s">
        <v>104</v>
      </c>
      <c r="K12" s="1">
        <v>226.8</v>
      </c>
      <c r="L12" s="1">
        <v>169.42</v>
      </c>
      <c r="M12" s="1">
        <v>38424.370000000003</v>
      </c>
      <c r="N12" s="1">
        <v>226.8</v>
      </c>
      <c r="O12" s="1">
        <v>226.8</v>
      </c>
      <c r="P12" s="1" t="s">
        <v>105</v>
      </c>
    </row>
    <row r="13" spans="1:16" x14ac:dyDescent="0.3">
      <c r="A13" s="1" t="s">
        <v>71</v>
      </c>
      <c r="B13" s="1" t="s">
        <v>106</v>
      </c>
      <c r="C13" s="2">
        <v>45971</v>
      </c>
      <c r="D13" s="1" t="s">
        <v>107</v>
      </c>
      <c r="E13">
        <v>348</v>
      </c>
      <c r="F13">
        <v>348</v>
      </c>
      <c r="G13">
        <v>348</v>
      </c>
      <c r="H13">
        <v>348</v>
      </c>
      <c r="I13">
        <v>348</v>
      </c>
      <c r="J13" s="1" t="s">
        <v>108</v>
      </c>
      <c r="K13">
        <v>348</v>
      </c>
      <c r="L13">
        <v>204.98</v>
      </c>
      <c r="M13">
        <v>71331.3</v>
      </c>
      <c r="N13">
        <v>348</v>
      </c>
      <c r="O13">
        <v>348</v>
      </c>
      <c r="P13" t="s">
        <v>109</v>
      </c>
    </row>
    <row r="14" spans="1:16" x14ac:dyDescent="0.3">
      <c r="A14" s="1" t="s">
        <v>71</v>
      </c>
      <c r="B14" s="1" t="s">
        <v>110</v>
      </c>
      <c r="C14" s="2">
        <v>45971</v>
      </c>
      <c r="D14" s="1" t="s">
        <v>111</v>
      </c>
      <c r="E14">
        <v>6</v>
      </c>
      <c r="J14" s="1" t="s">
        <v>112</v>
      </c>
      <c r="K14">
        <v>6</v>
      </c>
      <c r="L14">
        <v>10</v>
      </c>
      <c r="M14">
        <v>60</v>
      </c>
      <c r="N14">
        <v>6</v>
      </c>
      <c r="O14">
        <v>6</v>
      </c>
      <c r="P14" t="s">
        <v>113</v>
      </c>
    </row>
    <row r="15" spans="1:16" x14ac:dyDescent="0.3">
      <c r="A15" s="1" t="s">
        <v>71</v>
      </c>
      <c r="B15" s="1" t="s">
        <v>114</v>
      </c>
      <c r="C15" s="2">
        <v>45971</v>
      </c>
      <c r="D15" s="1" t="s">
        <v>115</v>
      </c>
      <c r="E15">
        <v>468</v>
      </c>
      <c r="F15">
        <v>468</v>
      </c>
      <c r="G15">
        <v>468</v>
      </c>
      <c r="H15">
        <v>468</v>
      </c>
      <c r="I15">
        <v>468</v>
      </c>
      <c r="J15" s="1" t="s">
        <v>116</v>
      </c>
      <c r="K15">
        <v>468</v>
      </c>
      <c r="L15">
        <v>210.32</v>
      </c>
      <c r="M15">
        <v>98431.63</v>
      </c>
      <c r="N15">
        <v>468</v>
      </c>
      <c r="O15">
        <v>468</v>
      </c>
      <c r="P15" t="s">
        <v>117</v>
      </c>
    </row>
    <row r="16" spans="1:16" x14ac:dyDescent="0.3">
      <c r="A16" s="1" t="s">
        <v>71</v>
      </c>
      <c r="B16" s="1" t="s">
        <v>118</v>
      </c>
      <c r="C16" s="2">
        <v>45971</v>
      </c>
      <c r="D16" s="1" t="s">
        <v>119</v>
      </c>
      <c r="E16">
        <v>378</v>
      </c>
      <c r="F16">
        <v>378</v>
      </c>
      <c r="G16">
        <v>378</v>
      </c>
      <c r="H16">
        <v>378</v>
      </c>
      <c r="I16">
        <v>378</v>
      </c>
      <c r="J16" s="1" t="s">
        <v>120</v>
      </c>
      <c r="K16">
        <v>378</v>
      </c>
      <c r="L16">
        <v>287.62</v>
      </c>
      <c r="M16">
        <v>108720.36</v>
      </c>
      <c r="N16">
        <v>378</v>
      </c>
      <c r="O16">
        <v>378</v>
      </c>
      <c r="P16" t="s">
        <v>121</v>
      </c>
    </row>
    <row r="17" spans="1:16" x14ac:dyDescent="0.3">
      <c r="A17" s="1" t="s">
        <v>71</v>
      </c>
      <c r="B17" s="1" t="s">
        <v>118</v>
      </c>
      <c r="C17" s="2">
        <v>45971</v>
      </c>
      <c r="D17" s="1" t="s">
        <v>122</v>
      </c>
      <c r="E17">
        <v>696</v>
      </c>
      <c r="F17">
        <v>696</v>
      </c>
      <c r="G17">
        <v>696</v>
      </c>
      <c r="H17">
        <v>696</v>
      </c>
      <c r="I17">
        <v>696</v>
      </c>
      <c r="J17" s="1" t="s">
        <v>123</v>
      </c>
      <c r="K17">
        <v>696</v>
      </c>
      <c r="L17">
        <v>93.02</v>
      </c>
      <c r="M17">
        <v>64741.919999999998</v>
      </c>
      <c r="N17">
        <v>696</v>
      </c>
      <c r="O17">
        <v>696</v>
      </c>
      <c r="P17" t="s">
        <v>121</v>
      </c>
    </row>
    <row r="18" spans="1:16" x14ac:dyDescent="0.3">
      <c r="A18" s="1" t="s">
        <v>71</v>
      </c>
      <c r="B18" s="1" t="s">
        <v>124</v>
      </c>
      <c r="C18" s="2">
        <v>45971</v>
      </c>
      <c r="D18" s="1" t="s">
        <v>125</v>
      </c>
      <c r="E18">
        <v>429</v>
      </c>
      <c r="F18">
        <v>429</v>
      </c>
      <c r="G18">
        <v>429</v>
      </c>
      <c r="H18">
        <v>429</v>
      </c>
      <c r="I18">
        <v>429</v>
      </c>
      <c r="J18" s="1" t="s">
        <v>126</v>
      </c>
      <c r="K18">
        <v>429</v>
      </c>
      <c r="L18">
        <v>156.99</v>
      </c>
      <c r="M18">
        <v>67348.710000000006</v>
      </c>
      <c r="N18">
        <v>429</v>
      </c>
      <c r="O18">
        <v>426</v>
      </c>
      <c r="P18" t="s">
        <v>127</v>
      </c>
    </row>
    <row r="19" spans="1:16" x14ac:dyDescent="0.3">
      <c r="A19" s="1" t="s">
        <v>71</v>
      </c>
      <c r="B19" s="1" t="s">
        <v>128</v>
      </c>
      <c r="C19" s="2">
        <v>45972</v>
      </c>
      <c r="D19" s="1" t="s">
        <v>129</v>
      </c>
      <c r="E19">
        <v>1639.95</v>
      </c>
      <c r="F19">
        <v>1639.95</v>
      </c>
      <c r="G19">
        <v>1639.95</v>
      </c>
      <c r="H19">
        <v>1639.95</v>
      </c>
      <c r="I19">
        <v>1639.95</v>
      </c>
      <c r="J19" s="1" t="s">
        <v>130</v>
      </c>
      <c r="K19">
        <v>1639.95</v>
      </c>
      <c r="L19">
        <v>85.27</v>
      </c>
      <c r="M19">
        <v>139840</v>
      </c>
      <c r="N19">
        <v>1639.95</v>
      </c>
      <c r="O19">
        <v>1639.95</v>
      </c>
      <c r="P19" t="s">
        <v>131</v>
      </c>
    </row>
    <row r="20" spans="1:16" x14ac:dyDescent="0.3">
      <c r="A20" s="1" t="s">
        <v>71</v>
      </c>
      <c r="B20" s="1" t="s">
        <v>128</v>
      </c>
      <c r="C20" s="2">
        <v>45972</v>
      </c>
      <c r="D20" s="1" t="s">
        <v>132</v>
      </c>
      <c r="E20">
        <v>141.80000000000001</v>
      </c>
      <c r="F20">
        <v>141.80000000000001</v>
      </c>
      <c r="G20">
        <v>141.80000000000001</v>
      </c>
      <c r="H20">
        <v>141.80000000000001</v>
      </c>
      <c r="I20">
        <v>141.80000000000001</v>
      </c>
      <c r="J20" s="1" t="s">
        <v>133</v>
      </c>
      <c r="K20">
        <v>141.80000000000001</v>
      </c>
      <c r="L20">
        <v>76.73</v>
      </c>
      <c r="M20">
        <v>10880</v>
      </c>
      <c r="N20">
        <v>141.80000000000001</v>
      </c>
      <c r="O20">
        <v>141.80000000000001</v>
      </c>
      <c r="P20" t="s">
        <v>131</v>
      </c>
    </row>
    <row r="21" spans="1:16" x14ac:dyDescent="0.3">
      <c r="A21" s="1" t="s">
        <v>71</v>
      </c>
      <c r="B21" s="1" t="s">
        <v>134</v>
      </c>
      <c r="C21" s="2">
        <v>45972</v>
      </c>
      <c r="D21" s="1" t="s">
        <v>135</v>
      </c>
      <c r="E21">
        <v>1368</v>
      </c>
      <c r="F21">
        <v>1368</v>
      </c>
      <c r="G21">
        <v>1368</v>
      </c>
      <c r="H21">
        <v>1368</v>
      </c>
      <c r="I21">
        <v>1368</v>
      </c>
      <c r="J21" s="1" t="s">
        <v>136</v>
      </c>
      <c r="K21">
        <v>1368</v>
      </c>
      <c r="L21">
        <v>20.93</v>
      </c>
      <c r="M21">
        <v>28625.4</v>
      </c>
      <c r="N21">
        <v>1368</v>
      </c>
      <c r="O21">
        <v>1368</v>
      </c>
      <c r="P21" t="s">
        <v>137</v>
      </c>
    </row>
    <row r="22" spans="1:16" x14ac:dyDescent="0.3">
      <c r="A22" s="1" t="s">
        <v>71</v>
      </c>
      <c r="B22" s="1" t="s">
        <v>138</v>
      </c>
      <c r="C22" s="2">
        <v>45972</v>
      </c>
      <c r="D22" s="1" t="s">
        <v>135</v>
      </c>
      <c r="E22">
        <v>1368</v>
      </c>
      <c r="F22">
        <v>1368</v>
      </c>
      <c r="G22">
        <v>1368</v>
      </c>
      <c r="H22">
        <v>1368</v>
      </c>
      <c r="I22">
        <v>1368</v>
      </c>
      <c r="J22" s="1" t="s">
        <v>139</v>
      </c>
      <c r="K22">
        <v>1368</v>
      </c>
      <c r="L22">
        <v>20.93</v>
      </c>
      <c r="M22">
        <v>28625.4</v>
      </c>
      <c r="N22">
        <v>1368</v>
      </c>
      <c r="O22">
        <v>1368</v>
      </c>
      <c r="P22" t="s">
        <v>140</v>
      </c>
    </row>
    <row r="23" spans="1:16" x14ac:dyDescent="0.3">
      <c r="A23" s="1" t="s">
        <v>71</v>
      </c>
      <c r="B23" s="1" t="s">
        <v>141</v>
      </c>
      <c r="C23" s="2">
        <v>45972</v>
      </c>
      <c r="D23" s="1" t="s">
        <v>55</v>
      </c>
      <c r="E23">
        <v>797.15</v>
      </c>
      <c r="F23">
        <v>797.15</v>
      </c>
      <c r="G23">
        <v>797.15</v>
      </c>
      <c r="H23">
        <v>797.15</v>
      </c>
      <c r="I23">
        <v>797.15</v>
      </c>
      <c r="J23" s="1" t="s">
        <v>142</v>
      </c>
      <c r="K23">
        <v>797.15</v>
      </c>
      <c r="L23">
        <v>129.9</v>
      </c>
      <c r="M23">
        <v>103549.79</v>
      </c>
      <c r="N23">
        <v>797.15</v>
      </c>
      <c r="O23">
        <v>781.1</v>
      </c>
      <c r="P23" t="s">
        <v>143</v>
      </c>
    </row>
    <row r="24" spans="1:16" x14ac:dyDescent="0.3">
      <c r="A24" s="1" t="s">
        <v>71</v>
      </c>
      <c r="B24" s="1" t="s">
        <v>144</v>
      </c>
      <c r="C24" s="2">
        <v>45972</v>
      </c>
      <c r="D24" s="1" t="s">
        <v>122</v>
      </c>
      <c r="E24">
        <v>222</v>
      </c>
      <c r="F24">
        <v>222</v>
      </c>
      <c r="G24">
        <v>222</v>
      </c>
      <c r="H24">
        <v>222</v>
      </c>
      <c r="I24">
        <v>222</v>
      </c>
      <c r="J24" s="1" t="s">
        <v>123</v>
      </c>
      <c r="K24">
        <v>222</v>
      </c>
      <c r="L24">
        <v>93.02</v>
      </c>
      <c r="M24">
        <v>20651.330000000002</v>
      </c>
      <c r="N24">
        <v>222</v>
      </c>
      <c r="O24">
        <v>222</v>
      </c>
      <c r="P24" t="s">
        <v>145</v>
      </c>
    </row>
    <row r="25" spans="1:16" x14ac:dyDescent="0.3">
      <c r="A25" s="1" t="s">
        <v>71</v>
      </c>
      <c r="B25" s="1" t="s">
        <v>146</v>
      </c>
      <c r="C25" s="2">
        <v>45973</v>
      </c>
      <c r="D25" s="1" t="s">
        <v>147</v>
      </c>
      <c r="E25">
        <v>486</v>
      </c>
      <c r="F25">
        <v>504</v>
      </c>
      <c r="G25">
        <v>504</v>
      </c>
      <c r="H25">
        <v>504</v>
      </c>
      <c r="I25">
        <v>504</v>
      </c>
      <c r="J25" s="1" t="s">
        <v>148</v>
      </c>
      <c r="K25">
        <v>486</v>
      </c>
      <c r="L25">
        <v>509.26</v>
      </c>
      <c r="M25">
        <v>247500</v>
      </c>
      <c r="N25">
        <v>504</v>
      </c>
      <c r="O25">
        <v>486</v>
      </c>
      <c r="P25" t="s">
        <v>149</v>
      </c>
    </row>
    <row r="26" spans="1:16" x14ac:dyDescent="0.3">
      <c r="A26" s="1" t="s">
        <v>71</v>
      </c>
      <c r="B26" s="1" t="s">
        <v>150</v>
      </c>
      <c r="C26" s="2">
        <v>45973</v>
      </c>
      <c r="D26" s="1" t="s">
        <v>151</v>
      </c>
      <c r="E26">
        <v>2994</v>
      </c>
      <c r="F26">
        <v>2994</v>
      </c>
      <c r="G26">
        <v>2994</v>
      </c>
      <c r="H26">
        <v>2994</v>
      </c>
      <c r="I26">
        <v>2994</v>
      </c>
      <c r="J26" s="1" t="s">
        <v>152</v>
      </c>
      <c r="K26">
        <v>2994</v>
      </c>
      <c r="L26">
        <v>38.19</v>
      </c>
      <c r="M26">
        <v>114340.86</v>
      </c>
      <c r="N26">
        <v>2994</v>
      </c>
      <c r="O26">
        <v>2298</v>
      </c>
      <c r="P26" t="s">
        <v>153</v>
      </c>
    </row>
    <row r="27" spans="1:16" x14ac:dyDescent="0.3">
      <c r="A27" s="1" t="s">
        <v>71</v>
      </c>
      <c r="B27" s="1" t="s">
        <v>150</v>
      </c>
      <c r="C27" s="2">
        <v>45973</v>
      </c>
      <c r="D27" s="1" t="s">
        <v>154</v>
      </c>
      <c r="E27">
        <v>984</v>
      </c>
      <c r="F27">
        <v>984</v>
      </c>
      <c r="G27">
        <v>984</v>
      </c>
      <c r="H27">
        <v>984</v>
      </c>
      <c r="I27">
        <v>984</v>
      </c>
      <c r="J27" s="1" t="s">
        <v>155</v>
      </c>
      <c r="K27">
        <v>984</v>
      </c>
      <c r="L27">
        <v>77.98</v>
      </c>
      <c r="M27">
        <v>76728.38</v>
      </c>
      <c r="N27">
        <v>984</v>
      </c>
      <c r="O27">
        <v>984</v>
      </c>
      <c r="P27" t="s">
        <v>153</v>
      </c>
    </row>
    <row r="28" spans="1:16" x14ac:dyDescent="0.3">
      <c r="A28" s="1" t="s">
        <v>71</v>
      </c>
      <c r="B28" s="1" t="s">
        <v>156</v>
      </c>
      <c r="C28" s="2">
        <v>45973</v>
      </c>
      <c r="D28" s="1" t="s">
        <v>157</v>
      </c>
      <c r="E28">
        <v>84</v>
      </c>
      <c r="F28">
        <v>84</v>
      </c>
      <c r="G28">
        <v>84</v>
      </c>
      <c r="H28">
        <v>84</v>
      </c>
      <c r="I28">
        <v>84</v>
      </c>
      <c r="J28" s="1" t="s">
        <v>158</v>
      </c>
      <c r="K28">
        <v>84</v>
      </c>
      <c r="L28">
        <v>148.38</v>
      </c>
      <c r="M28">
        <v>12463.84</v>
      </c>
      <c r="N28">
        <v>84</v>
      </c>
      <c r="O28">
        <v>84</v>
      </c>
      <c r="P28" t="s">
        <v>159</v>
      </c>
    </row>
    <row r="29" spans="1:16" x14ac:dyDescent="0.3">
      <c r="A29" s="1" t="s">
        <v>71</v>
      </c>
      <c r="B29" s="1" t="s">
        <v>160</v>
      </c>
      <c r="C29" s="2">
        <v>45973</v>
      </c>
      <c r="D29" s="1" t="s">
        <v>81</v>
      </c>
      <c r="E29">
        <v>39.200000000000003</v>
      </c>
      <c r="F29">
        <v>39.200000000000003</v>
      </c>
      <c r="G29">
        <v>39.200000000000003</v>
      </c>
      <c r="H29">
        <v>39.200000000000003</v>
      </c>
      <c r="I29">
        <v>39.200000000000003</v>
      </c>
      <c r="J29" s="1" t="s">
        <v>82</v>
      </c>
      <c r="K29">
        <v>39.200000000000003</v>
      </c>
      <c r="L29">
        <v>339.97</v>
      </c>
      <c r="M29">
        <v>13326.82</v>
      </c>
      <c r="N29">
        <v>39.200000000000003</v>
      </c>
      <c r="O29">
        <v>39.200000000000003</v>
      </c>
      <c r="P29" t="s">
        <v>161</v>
      </c>
    </row>
    <row r="30" spans="1:16" x14ac:dyDescent="0.3">
      <c r="A30" s="1" t="s">
        <v>71</v>
      </c>
      <c r="B30" s="1" t="s">
        <v>162</v>
      </c>
      <c r="C30" s="2">
        <v>45973</v>
      </c>
      <c r="D30" s="1" t="s">
        <v>163</v>
      </c>
      <c r="E30">
        <v>299</v>
      </c>
      <c r="F30">
        <v>299</v>
      </c>
      <c r="G30">
        <v>299</v>
      </c>
      <c r="H30">
        <v>299</v>
      </c>
      <c r="I30">
        <v>299</v>
      </c>
      <c r="J30" s="1" t="s">
        <v>164</v>
      </c>
      <c r="K30">
        <v>299</v>
      </c>
      <c r="L30">
        <v>321.60000000000002</v>
      </c>
      <c r="M30">
        <v>96158.399999999994</v>
      </c>
      <c r="N30">
        <v>299</v>
      </c>
      <c r="O30">
        <v>299</v>
      </c>
      <c r="P30" t="s">
        <v>165</v>
      </c>
    </row>
    <row r="31" spans="1:16" x14ac:dyDescent="0.3">
      <c r="A31" s="1" t="s">
        <v>71</v>
      </c>
      <c r="B31" s="1" t="s">
        <v>166</v>
      </c>
      <c r="C31" s="2">
        <v>45973</v>
      </c>
      <c r="D31" s="1" t="s">
        <v>167</v>
      </c>
      <c r="E31">
        <v>294</v>
      </c>
      <c r="F31">
        <v>294</v>
      </c>
      <c r="G31">
        <v>294</v>
      </c>
      <c r="H31">
        <v>294</v>
      </c>
      <c r="I31">
        <v>294</v>
      </c>
      <c r="J31" s="1" t="s">
        <v>168</v>
      </c>
      <c r="K31">
        <v>294</v>
      </c>
      <c r="L31">
        <v>64.709999999999994</v>
      </c>
      <c r="M31">
        <v>19025.919999999998</v>
      </c>
      <c r="N31">
        <v>294</v>
      </c>
      <c r="O31">
        <v>294</v>
      </c>
      <c r="P31" t="s">
        <v>169</v>
      </c>
    </row>
    <row r="32" spans="1:16" x14ac:dyDescent="0.3">
      <c r="A32" s="1" t="s">
        <v>71</v>
      </c>
      <c r="B32" s="1" t="s">
        <v>18</v>
      </c>
      <c r="C32" s="2">
        <v>45973</v>
      </c>
      <c r="D32" s="1" t="s">
        <v>22</v>
      </c>
      <c r="E32">
        <v>245</v>
      </c>
      <c r="F32">
        <v>245</v>
      </c>
      <c r="G32">
        <v>245</v>
      </c>
      <c r="H32">
        <v>245</v>
      </c>
      <c r="I32">
        <v>245</v>
      </c>
      <c r="J32" s="1" t="s">
        <v>170</v>
      </c>
      <c r="K32">
        <v>245</v>
      </c>
      <c r="L32">
        <v>238.78</v>
      </c>
      <c r="M32">
        <v>58500</v>
      </c>
      <c r="N32">
        <v>245</v>
      </c>
      <c r="O32">
        <v>245</v>
      </c>
      <c r="P32" t="s">
        <v>171</v>
      </c>
    </row>
    <row r="33" spans="1:16" x14ac:dyDescent="0.3">
      <c r="A33" s="1" t="s">
        <v>71</v>
      </c>
      <c r="B33" s="1" t="s">
        <v>18</v>
      </c>
      <c r="C33" s="2">
        <v>45973</v>
      </c>
      <c r="D33" s="1" t="s">
        <v>24</v>
      </c>
      <c r="E33">
        <v>129.36000000000001</v>
      </c>
      <c r="F33">
        <v>129.36000000000001</v>
      </c>
      <c r="G33">
        <v>129.36000000000001</v>
      </c>
      <c r="H33">
        <v>129.36000000000001</v>
      </c>
      <c r="I33">
        <v>129.36000000000001</v>
      </c>
      <c r="J33" s="1" t="s">
        <v>172</v>
      </c>
      <c r="K33">
        <v>129.36000000000001</v>
      </c>
      <c r="L33">
        <v>301.48</v>
      </c>
      <c r="M33">
        <v>39000</v>
      </c>
      <c r="N33">
        <v>129.36000000000001</v>
      </c>
      <c r="O33">
        <v>129.36000000000001</v>
      </c>
      <c r="P33" t="s">
        <v>171</v>
      </c>
    </row>
    <row r="34" spans="1:16" x14ac:dyDescent="0.3">
      <c r="A34" s="1" t="s">
        <v>71</v>
      </c>
      <c r="B34" s="1" t="s">
        <v>26</v>
      </c>
      <c r="C34" s="2">
        <v>45973</v>
      </c>
      <c r="D34" s="1" t="s">
        <v>77</v>
      </c>
      <c r="E34">
        <v>25</v>
      </c>
      <c r="F34">
        <v>25</v>
      </c>
      <c r="G34">
        <v>25</v>
      </c>
      <c r="H34">
        <v>25</v>
      </c>
      <c r="I34">
        <v>25</v>
      </c>
      <c r="J34" s="1" t="s">
        <v>173</v>
      </c>
      <c r="K34">
        <v>25</v>
      </c>
      <c r="L34">
        <v>55.08</v>
      </c>
      <c r="M34">
        <v>1377</v>
      </c>
      <c r="N34">
        <v>25</v>
      </c>
      <c r="O34">
        <v>25</v>
      </c>
      <c r="P34" t="s">
        <v>174</v>
      </c>
    </row>
    <row r="35" spans="1:16" x14ac:dyDescent="0.3">
      <c r="A35" s="1" t="s">
        <v>71</v>
      </c>
      <c r="B35" s="1" t="s">
        <v>26</v>
      </c>
      <c r="C35" s="2">
        <v>45973</v>
      </c>
      <c r="D35" s="1" t="s">
        <v>29</v>
      </c>
      <c r="E35">
        <v>5.0999999999999996</v>
      </c>
      <c r="F35">
        <v>5.0999999999999996</v>
      </c>
      <c r="G35">
        <v>5.0999999999999996</v>
      </c>
      <c r="H35">
        <v>5.0999999999999996</v>
      </c>
      <c r="I35">
        <v>5.0999999999999996</v>
      </c>
      <c r="J35" s="1" t="s">
        <v>175</v>
      </c>
      <c r="K35">
        <v>5.0999999999999996</v>
      </c>
      <c r="L35">
        <v>53.91</v>
      </c>
      <c r="M35">
        <v>274.94</v>
      </c>
      <c r="N35">
        <v>5.0999999999999996</v>
      </c>
      <c r="O35">
        <v>5.0999999999999996</v>
      </c>
      <c r="P35" t="s">
        <v>174</v>
      </c>
    </row>
    <row r="36" spans="1:16" x14ac:dyDescent="0.3">
      <c r="A36" s="1" t="s">
        <v>71</v>
      </c>
      <c r="B36" s="1" t="s">
        <v>26</v>
      </c>
      <c r="C36" s="2">
        <v>45973</v>
      </c>
      <c r="D36" s="1" t="s">
        <v>31</v>
      </c>
      <c r="E36">
        <v>115</v>
      </c>
      <c r="F36">
        <v>115</v>
      </c>
      <c r="G36">
        <v>115</v>
      </c>
      <c r="H36">
        <v>115</v>
      </c>
      <c r="I36">
        <v>115</v>
      </c>
      <c r="J36" s="1" t="s">
        <v>176</v>
      </c>
      <c r="K36">
        <v>115</v>
      </c>
      <c r="L36">
        <v>54.81</v>
      </c>
      <c r="M36">
        <v>6303.15</v>
      </c>
      <c r="N36">
        <v>115</v>
      </c>
      <c r="O36">
        <v>115</v>
      </c>
      <c r="P36" t="s">
        <v>174</v>
      </c>
    </row>
    <row r="37" spans="1:16" x14ac:dyDescent="0.3">
      <c r="A37" s="1" t="s">
        <v>71</v>
      </c>
      <c r="B37" s="1" t="s">
        <v>26</v>
      </c>
      <c r="C37" s="2">
        <v>45973</v>
      </c>
      <c r="D37" s="1" t="s">
        <v>33</v>
      </c>
      <c r="E37">
        <v>10</v>
      </c>
      <c r="F37">
        <v>10</v>
      </c>
      <c r="G37">
        <v>10</v>
      </c>
      <c r="H37">
        <v>10</v>
      </c>
      <c r="I37">
        <v>10</v>
      </c>
      <c r="J37" s="1" t="s">
        <v>177</v>
      </c>
      <c r="K37">
        <v>10</v>
      </c>
      <c r="L37">
        <v>58.26</v>
      </c>
      <c r="M37">
        <v>582.6</v>
      </c>
      <c r="N37">
        <v>10</v>
      </c>
      <c r="O37">
        <v>20</v>
      </c>
      <c r="P37" t="s">
        <v>174</v>
      </c>
    </row>
    <row r="38" spans="1:16" x14ac:dyDescent="0.3">
      <c r="A38" s="1" t="s">
        <v>71</v>
      </c>
      <c r="B38" s="1" t="s">
        <v>26</v>
      </c>
      <c r="C38" s="2">
        <v>45973</v>
      </c>
      <c r="D38" s="1" t="s">
        <v>35</v>
      </c>
      <c r="E38">
        <v>40</v>
      </c>
      <c r="F38">
        <v>40</v>
      </c>
      <c r="G38">
        <v>40</v>
      </c>
      <c r="H38">
        <v>40</v>
      </c>
      <c r="I38">
        <v>40</v>
      </c>
      <c r="J38" s="1" t="s">
        <v>178</v>
      </c>
      <c r="K38">
        <v>40</v>
      </c>
      <c r="L38">
        <v>81.569999999999993</v>
      </c>
      <c r="M38">
        <v>3262.8</v>
      </c>
      <c r="N38">
        <v>40</v>
      </c>
      <c r="O38">
        <v>40</v>
      </c>
      <c r="P38" t="s">
        <v>174</v>
      </c>
    </row>
    <row r="39" spans="1:16" x14ac:dyDescent="0.3">
      <c r="A39" s="1" t="s">
        <v>71</v>
      </c>
      <c r="B39" s="1" t="s">
        <v>26</v>
      </c>
      <c r="C39" s="2">
        <v>45973</v>
      </c>
      <c r="D39" s="1" t="s">
        <v>37</v>
      </c>
      <c r="E39">
        <v>10</v>
      </c>
      <c r="F39">
        <v>10</v>
      </c>
      <c r="G39">
        <v>10</v>
      </c>
      <c r="H39">
        <v>10</v>
      </c>
      <c r="I39">
        <v>10</v>
      </c>
      <c r="J39" s="1" t="s">
        <v>177</v>
      </c>
      <c r="K39">
        <v>10</v>
      </c>
      <c r="L39">
        <v>58.26</v>
      </c>
      <c r="M39">
        <v>582.6</v>
      </c>
      <c r="N39">
        <v>10</v>
      </c>
      <c r="O39">
        <v>20</v>
      </c>
      <c r="P39" t="s">
        <v>174</v>
      </c>
    </row>
    <row r="40" spans="1:16" x14ac:dyDescent="0.3">
      <c r="A40" s="1" t="s">
        <v>71</v>
      </c>
      <c r="B40" s="1" t="s">
        <v>179</v>
      </c>
      <c r="C40" s="2">
        <v>45973</v>
      </c>
      <c r="D40" s="1" t="s">
        <v>180</v>
      </c>
      <c r="E40">
        <v>5</v>
      </c>
      <c r="F40">
        <v>5</v>
      </c>
      <c r="G40">
        <v>5</v>
      </c>
      <c r="H40">
        <v>5</v>
      </c>
      <c r="I40">
        <v>5</v>
      </c>
      <c r="J40" s="1" t="s">
        <v>181</v>
      </c>
      <c r="K40">
        <v>5</v>
      </c>
      <c r="L40">
        <v>2200</v>
      </c>
      <c r="M40">
        <v>11000</v>
      </c>
      <c r="N40">
        <v>5</v>
      </c>
      <c r="O40">
        <v>5</v>
      </c>
      <c r="P40" t="s">
        <v>182</v>
      </c>
    </row>
    <row r="41" spans="1:16" x14ac:dyDescent="0.3">
      <c r="A41" s="1" t="s">
        <v>71</v>
      </c>
      <c r="B41" s="1" t="s">
        <v>179</v>
      </c>
      <c r="C41" s="2">
        <v>45973</v>
      </c>
      <c r="D41" s="1" t="s">
        <v>183</v>
      </c>
      <c r="E41">
        <v>12</v>
      </c>
      <c r="F41">
        <v>12</v>
      </c>
      <c r="G41">
        <v>12</v>
      </c>
      <c r="H41">
        <v>12</v>
      </c>
      <c r="I41">
        <v>12</v>
      </c>
      <c r="J41" s="1" t="s">
        <v>184</v>
      </c>
      <c r="K41">
        <v>12</v>
      </c>
      <c r="L41">
        <v>1600</v>
      </c>
      <c r="M41">
        <v>19200</v>
      </c>
      <c r="N41">
        <v>12</v>
      </c>
      <c r="O41">
        <v>12</v>
      </c>
      <c r="P41" t="s">
        <v>182</v>
      </c>
    </row>
    <row r="42" spans="1:16" x14ac:dyDescent="0.3">
      <c r="A42" s="1" t="s">
        <v>71</v>
      </c>
      <c r="B42" s="1" t="s">
        <v>185</v>
      </c>
      <c r="C42" s="2">
        <v>45975</v>
      </c>
      <c r="D42" s="1" t="s">
        <v>186</v>
      </c>
      <c r="E42">
        <v>1782</v>
      </c>
      <c r="F42">
        <v>1782</v>
      </c>
      <c r="G42">
        <v>1782</v>
      </c>
      <c r="H42">
        <v>1782</v>
      </c>
      <c r="I42">
        <v>1782</v>
      </c>
      <c r="J42" s="1" t="s">
        <v>187</v>
      </c>
      <c r="K42">
        <v>1782</v>
      </c>
      <c r="L42">
        <v>81.14</v>
      </c>
      <c r="M42">
        <v>144593.26</v>
      </c>
      <c r="N42">
        <v>1782</v>
      </c>
      <c r="O42">
        <v>1776</v>
      </c>
      <c r="P42" t="s">
        <v>188</v>
      </c>
    </row>
    <row r="43" spans="1:16" x14ac:dyDescent="0.3">
      <c r="A43" s="1" t="s">
        <v>71</v>
      </c>
      <c r="B43" s="1" t="s">
        <v>189</v>
      </c>
      <c r="C43" s="2">
        <v>45975</v>
      </c>
      <c r="D43" s="1" t="s">
        <v>190</v>
      </c>
      <c r="E43">
        <v>1362</v>
      </c>
      <c r="F43">
        <v>1362</v>
      </c>
      <c r="G43">
        <v>1362</v>
      </c>
      <c r="H43">
        <v>1362</v>
      </c>
      <c r="I43">
        <v>1362</v>
      </c>
      <c r="J43" s="1" t="s">
        <v>191</v>
      </c>
      <c r="K43">
        <v>1362</v>
      </c>
      <c r="L43">
        <v>222.73</v>
      </c>
      <c r="M43">
        <v>303362.34999999998</v>
      </c>
      <c r="N43">
        <v>1362</v>
      </c>
      <c r="O43">
        <v>1362</v>
      </c>
      <c r="P43" t="s">
        <v>192</v>
      </c>
    </row>
    <row r="44" spans="1:16" x14ac:dyDescent="0.3">
      <c r="A44" s="1" t="s">
        <v>71</v>
      </c>
      <c r="B44" s="1" t="s">
        <v>193</v>
      </c>
      <c r="C44" s="2">
        <v>45975</v>
      </c>
      <c r="D44" s="1" t="s">
        <v>194</v>
      </c>
      <c r="E44">
        <v>1464</v>
      </c>
      <c r="F44">
        <v>1464</v>
      </c>
      <c r="G44">
        <v>1464</v>
      </c>
      <c r="H44">
        <v>1464</v>
      </c>
      <c r="I44">
        <v>1464</v>
      </c>
      <c r="J44" s="1" t="s">
        <v>195</v>
      </c>
      <c r="K44">
        <v>1464</v>
      </c>
      <c r="L44">
        <v>157.69</v>
      </c>
      <c r="M44">
        <v>230861.09</v>
      </c>
      <c r="N44">
        <v>1464</v>
      </c>
      <c r="O44">
        <v>1464</v>
      </c>
      <c r="P44" t="s">
        <v>196</v>
      </c>
    </row>
    <row r="45" spans="1:16" x14ac:dyDescent="0.3">
      <c r="A45" s="1" t="s">
        <v>71</v>
      </c>
      <c r="B45" s="1" t="s">
        <v>197</v>
      </c>
      <c r="C45" s="2">
        <v>45975</v>
      </c>
      <c r="D45" s="1" t="s">
        <v>198</v>
      </c>
      <c r="E45">
        <v>624</v>
      </c>
      <c r="F45">
        <v>624</v>
      </c>
      <c r="G45">
        <v>624</v>
      </c>
      <c r="H45">
        <v>624</v>
      </c>
      <c r="I45">
        <v>624</v>
      </c>
      <c r="J45" s="1" t="s">
        <v>199</v>
      </c>
      <c r="K45">
        <v>624</v>
      </c>
      <c r="L45">
        <v>118.44</v>
      </c>
      <c r="M45">
        <v>73906.559999999998</v>
      </c>
      <c r="N45">
        <v>624</v>
      </c>
      <c r="O45">
        <v>624</v>
      </c>
      <c r="P45" t="s">
        <v>200</v>
      </c>
    </row>
    <row r="46" spans="1:16" x14ac:dyDescent="0.3">
      <c r="A46" s="1" t="s">
        <v>71</v>
      </c>
      <c r="B46" s="1" t="s">
        <v>201</v>
      </c>
      <c r="C46" s="2">
        <v>45975</v>
      </c>
      <c r="D46" s="1" t="s">
        <v>119</v>
      </c>
      <c r="E46">
        <v>36</v>
      </c>
      <c r="F46">
        <v>36</v>
      </c>
      <c r="G46">
        <v>36</v>
      </c>
      <c r="H46">
        <v>36</v>
      </c>
      <c r="I46">
        <v>36</v>
      </c>
      <c r="J46" s="1" t="s">
        <v>120</v>
      </c>
      <c r="K46">
        <v>36</v>
      </c>
      <c r="L46">
        <v>287.62</v>
      </c>
      <c r="M46">
        <v>10354.32</v>
      </c>
      <c r="N46">
        <v>36</v>
      </c>
      <c r="O46">
        <v>36</v>
      </c>
      <c r="P46" t="s">
        <v>202</v>
      </c>
    </row>
    <row r="47" spans="1:16" x14ac:dyDescent="0.3">
      <c r="A47" s="1" t="s">
        <v>71</v>
      </c>
      <c r="B47" s="1" t="s">
        <v>203</v>
      </c>
      <c r="C47" s="2">
        <v>45975</v>
      </c>
      <c r="D47" s="1" t="s">
        <v>204</v>
      </c>
      <c r="E47">
        <v>492</v>
      </c>
      <c r="F47">
        <v>492</v>
      </c>
      <c r="G47">
        <v>492</v>
      </c>
      <c r="H47">
        <v>492</v>
      </c>
      <c r="I47">
        <v>492</v>
      </c>
      <c r="J47" s="1" t="s">
        <v>205</v>
      </c>
      <c r="K47">
        <v>492</v>
      </c>
      <c r="L47">
        <v>161.57</v>
      </c>
      <c r="M47">
        <v>79491.460000000006</v>
      </c>
      <c r="N47">
        <v>492</v>
      </c>
      <c r="O47">
        <v>492</v>
      </c>
      <c r="P47" t="s">
        <v>206</v>
      </c>
    </row>
    <row r="48" spans="1:16" x14ac:dyDescent="0.3">
      <c r="A48" s="1" t="s">
        <v>71</v>
      </c>
      <c r="B48" s="1" t="s">
        <v>207</v>
      </c>
      <c r="C48" s="2">
        <v>45978</v>
      </c>
      <c r="D48" s="1" t="s">
        <v>208</v>
      </c>
      <c r="E48">
        <v>800</v>
      </c>
      <c r="J48" s="1" t="s">
        <v>209</v>
      </c>
      <c r="K48">
        <v>800</v>
      </c>
      <c r="N48">
        <v>800</v>
      </c>
      <c r="O48">
        <v>800</v>
      </c>
      <c r="P48" t="s">
        <v>210</v>
      </c>
    </row>
    <row r="49" spans="1:16" x14ac:dyDescent="0.3">
      <c r="A49" s="1" t="s">
        <v>71</v>
      </c>
      <c r="B49" s="1" t="s">
        <v>211</v>
      </c>
      <c r="C49" s="2">
        <v>45979</v>
      </c>
      <c r="D49" s="1" t="s">
        <v>212</v>
      </c>
      <c r="E49">
        <v>1008</v>
      </c>
      <c r="F49">
        <v>1008</v>
      </c>
      <c r="J49" s="1" t="s">
        <v>213</v>
      </c>
      <c r="K49">
        <v>1008</v>
      </c>
      <c r="L49">
        <v>31.46</v>
      </c>
      <c r="M49">
        <v>31715.71</v>
      </c>
      <c r="P49" t="s">
        <v>214</v>
      </c>
    </row>
    <row r="50" spans="1:16" x14ac:dyDescent="0.3">
      <c r="A50" s="1" t="s">
        <v>71</v>
      </c>
      <c r="B50" s="1" t="s">
        <v>211</v>
      </c>
      <c r="C50" s="2">
        <v>45979</v>
      </c>
      <c r="D50" s="1" t="s">
        <v>215</v>
      </c>
      <c r="E50">
        <v>504</v>
      </c>
      <c r="F50">
        <v>504</v>
      </c>
      <c r="J50" s="1" t="s">
        <v>216</v>
      </c>
      <c r="K50">
        <v>504</v>
      </c>
      <c r="L50">
        <v>41.8</v>
      </c>
      <c r="M50">
        <v>21067.200000000001</v>
      </c>
      <c r="P50" t="s">
        <v>214</v>
      </c>
    </row>
    <row r="51" spans="1:16" x14ac:dyDescent="0.3">
      <c r="A51" s="1" t="s">
        <v>71</v>
      </c>
      <c r="B51" s="1" t="s">
        <v>217</v>
      </c>
      <c r="C51" s="2">
        <v>45979</v>
      </c>
      <c r="D51" s="1" t="s">
        <v>212</v>
      </c>
      <c r="E51">
        <v>1008</v>
      </c>
      <c r="F51">
        <v>1008</v>
      </c>
      <c r="G51">
        <v>1008</v>
      </c>
      <c r="H51">
        <v>1008</v>
      </c>
      <c r="I51">
        <v>1008</v>
      </c>
      <c r="J51" s="1" t="s">
        <v>213</v>
      </c>
      <c r="K51">
        <v>1008</v>
      </c>
      <c r="L51">
        <v>31.46</v>
      </c>
      <c r="M51">
        <v>31715.71</v>
      </c>
      <c r="N51">
        <v>1008</v>
      </c>
      <c r="O51">
        <v>1008</v>
      </c>
      <c r="P51" t="s">
        <v>218</v>
      </c>
    </row>
    <row r="52" spans="1:16" x14ac:dyDescent="0.3">
      <c r="A52" s="1" t="s">
        <v>71</v>
      </c>
      <c r="B52" s="1" t="s">
        <v>217</v>
      </c>
      <c r="C52" s="2">
        <v>45979</v>
      </c>
      <c r="D52" s="1" t="s">
        <v>216</v>
      </c>
      <c r="E52">
        <v>504</v>
      </c>
      <c r="F52">
        <v>504</v>
      </c>
      <c r="G52">
        <v>504</v>
      </c>
      <c r="H52">
        <v>504</v>
      </c>
      <c r="I52">
        <v>504</v>
      </c>
      <c r="J52" s="1" t="s">
        <v>219</v>
      </c>
      <c r="K52">
        <v>504</v>
      </c>
      <c r="L52">
        <v>41.8</v>
      </c>
      <c r="M52">
        <v>21067.200000000001</v>
      </c>
      <c r="N52">
        <v>504</v>
      </c>
      <c r="O52">
        <v>504</v>
      </c>
      <c r="P52" t="s">
        <v>218</v>
      </c>
    </row>
    <row r="53" spans="1:16" x14ac:dyDescent="0.3">
      <c r="A53" s="1" t="s">
        <v>71</v>
      </c>
      <c r="B53" s="1" t="s">
        <v>220</v>
      </c>
      <c r="C53" s="2">
        <v>45979</v>
      </c>
      <c r="D53" s="1" t="s">
        <v>221</v>
      </c>
      <c r="E53">
        <v>132</v>
      </c>
      <c r="J53" s="1" t="s">
        <v>222</v>
      </c>
      <c r="K53">
        <v>132</v>
      </c>
      <c r="L53">
        <v>109.72</v>
      </c>
      <c r="M53">
        <v>14483.04</v>
      </c>
      <c r="P53" t="s">
        <v>223</v>
      </c>
    </row>
    <row r="54" spans="1:16" x14ac:dyDescent="0.3">
      <c r="A54" s="1" t="s">
        <v>71</v>
      </c>
      <c r="B54" s="1" t="s">
        <v>224</v>
      </c>
      <c r="C54" s="2">
        <v>45980</v>
      </c>
      <c r="D54" s="1" t="s">
        <v>225</v>
      </c>
      <c r="E54">
        <v>336</v>
      </c>
      <c r="F54">
        <v>336</v>
      </c>
      <c r="G54">
        <v>336</v>
      </c>
      <c r="H54">
        <v>336</v>
      </c>
      <c r="I54">
        <v>336</v>
      </c>
      <c r="J54" s="1" t="s">
        <v>226</v>
      </c>
      <c r="K54">
        <v>336</v>
      </c>
      <c r="L54">
        <v>59.36</v>
      </c>
      <c r="M54">
        <v>19944.96</v>
      </c>
      <c r="N54">
        <v>336</v>
      </c>
      <c r="O54">
        <v>336</v>
      </c>
      <c r="P54" t="s">
        <v>227</v>
      </c>
    </row>
    <row r="55" spans="1:16" x14ac:dyDescent="0.3">
      <c r="A55" s="1" t="s">
        <v>71</v>
      </c>
      <c r="B55" s="1" t="s">
        <v>228</v>
      </c>
      <c r="C55" s="2">
        <v>45980</v>
      </c>
      <c r="D55" s="1" t="s">
        <v>229</v>
      </c>
      <c r="E55">
        <v>180</v>
      </c>
      <c r="F55">
        <v>180</v>
      </c>
      <c r="G55">
        <v>180</v>
      </c>
      <c r="H55">
        <v>180</v>
      </c>
      <c r="I55">
        <v>180</v>
      </c>
      <c r="J55" s="1" t="s">
        <v>230</v>
      </c>
      <c r="K55">
        <v>180</v>
      </c>
      <c r="L55">
        <v>295.08999999999997</v>
      </c>
      <c r="M55">
        <v>53116</v>
      </c>
      <c r="N55">
        <v>180</v>
      </c>
      <c r="O55">
        <v>180</v>
      </c>
      <c r="P55" t="s">
        <v>231</v>
      </c>
    </row>
    <row r="56" spans="1:16" x14ac:dyDescent="0.3">
      <c r="A56" s="1" t="s">
        <v>71</v>
      </c>
      <c r="B56" s="1" t="s">
        <v>232</v>
      </c>
      <c r="C56" s="2">
        <v>45980</v>
      </c>
      <c r="D56" s="1" t="s">
        <v>233</v>
      </c>
      <c r="E56">
        <v>1360</v>
      </c>
      <c r="F56">
        <v>1360</v>
      </c>
      <c r="G56">
        <v>1360</v>
      </c>
      <c r="H56">
        <v>1360</v>
      </c>
      <c r="I56">
        <v>1360</v>
      </c>
      <c r="J56" s="1" t="s">
        <v>234</v>
      </c>
      <c r="K56">
        <v>1360</v>
      </c>
      <c r="L56">
        <v>106.21</v>
      </c>
      <c r="M56">
        <v>144441.25</v>
      </c>
      <c r="N56">
        <v>1360</v>
      </c>
      <c r="O56">
        <v>1346.4</v>
      </c>
      <c r="P56" t="s">
        <v>235</v>
      </c>
    </row>
    <row r="57" spans="1:16" x14ac:dyDescent="0.3">
      <c r="A57" s="1" t="s">
        <v>71</v>
      </c>
      <c r="B57" s="1" t="s">
        <v>236</v>
      </c>
      <c r="C57" s="2">
        <v>45981</v>
      </c>
      <c r="D57" s="1" t="s">
        <v>237</v>
      </c>
      <c r="E57">
        <v>900</v>
      </c>
      <c r="F57">
        <v>900</v>
      </c>
      <c r="G57">
        <v>900</v>
      </c>
      <c r="H57">
        <v>900</v>
      </c>
      <c r="I57">
        <v>900</v>
      </c>
      <c r="J57" s="1" t="s">
        <v>238</v>
      </c>
      <c r="K57">
        <v>900</v>
      </c>
      <c r="L57">
        <v>45.24</v>
      </c>
      <c r="M57">
        <v>40711.949999999997</v>
      </c>
      <c r="N57">
        <v>900</v>
      </c>
      <c r="O57">
        <v>900</v>
      </c>
      <c r="P57" t="s">
        <v>239</v>
      </c>
    </row>
    <row r="58" spans="1:16" x14ac:dyDescent="0.3">
      <c r="A58" s="1" t="s">
        <v>71</v>
      </c>
      <c r="B58" s="1" t="s">
        <v>240</v>
      </c>
      <c r="C58" s="2">
        <v>45985</v>
      </c>
      <c r="D58" s="1" t="s">
        <v>241</v>
      </c>
      <c r="E58">
        <v>6</v>
      </c>
      <c r="J58" s="1" t="s">
        <v>242</v>
      </c>
      <c r="K58">
        <v>54</v>
      </c>
      <c r="L58">
        <v>270</v>
      </c>
      <c r="M58">
        <v>1620</v>
      </c>
      <c r="N58">
        <v>6</v>
      </c>
      <c r="O58">
        <v>6</v>
      </c>
      <c r="P58" t="s">
        <v>243</v>
      </c>
    </row>
    <row r="59" spans="1:16" x14ac:dyDescent="0.3">
      <c r="A59" s="1" t="s">
        <v>71</v>
      </c>
      <c r="B59" s="1" t="s">
        <v>42</v>
      </c>
      <c r="C59" s="2">
        <v>45985</v>
      </c>
      <c r="D59" s="1" t="s">
        <v>198</v>
      </c>
      <c r="E59">
        <v>150</v>
      </c>
      <c r="F59">
        <v>150</v>
      </c>
      <c r="G59">
        <v>150</v>
      </c>
      <c r="H59">
        <v>150</v>
      </c>
      <c r="I59">
        <v>150</v>
      </c>
      <c r="J59" s="1" t="s">
        <v>199</v>
      </c>
      <c r="K59">
        <v>150</v>
      </c>
      <c r="L59">
        <v>118.44</v>
      </c>
      <c r="M59">
        <v>17766</v>
      </c>
      <c r="N59">
        <v>150</v>
      </c>
      <c r="O59">
        <v>150</v>
      </c>
      <c r="P59" t="s">
        <v>244</v>
      </c>
    </row>
    <row r="60" spans="1:16" x14ac:dyDescent="0.3">
      <c r="A60" s="1" t="s">
        <v>71</v>
      </c>
      <c r="B60" s="1" t="s">
        <v>45</v>
      </c>
      <c r="C60" s="2">
        <v>45985</v>
      </c>
      <c r="D60" s="1" t="s">
        <v>46</v>
      </c>
      <c r="E60">
        <v>516</v>
      </c>
      <c r="F60">
        <v>516</v>
      </c>
      <c r="G60">
        <v>516</v>
      </c>
      <c r="H60">
        <v>516</v>
      </c>
      <c r="I60">
        <v>516</v>
      </c>
      <c r="J60" s="1" t="s">
        <v>245</v>
      </c>
      <c r="K60">
        <v>516</v>
      </c>
      <c r="L60">
        <v>158.66</v>
      </c>
      <c r="M60">
        <v>81869.08</v>
      </c>
      <c r="N60">
        <v>516</v>
      </c>
      <c r="O60">
        <v>516</v>
      </c>
      <c r="P60" t="s">
        <v>246</v>
      </c>
    </row>
    <row r="61" spans="1:16" x14ac:dyDescent="0.3">
      <c r="A61" s="1" t="s">
        <v>71</v>
      </c>
      <c r="B61" s="1" t="s">
        <v>48</v>
      </c>
      <c r="C61" s="2">
        <v>45985</v>
      </c>
      <c r="D61" s="1" t="s">
        <v>49</v>
      </c>
      <c r="E61">
        <v>1524.6</v>
      </c>
      <c r="F61">
        <v>1524.6</v>
      </c>
      <c r="G61">
        <v>1524.6</v>
      </c>
      <c r="H61">
        <v>1524.6</v>
      </c>
      <c r="I61">
        <v>1524.6</v>
      </c>
      <c r="J61" s="1" t="s">
        <v>247</v>
      </c>
      <c r="K61">
        <v>1524.6</v>
      </c>
      <c r="L61">
        <v>89.28</v>
      </c>
      <c r="M61">
        <v>136113.24</v>
      </c>
      <c r="N61">
        <v>1524.6</v>
      </c>
      <c r="O61">
        <v>1524.6</v>
      </c>
      <c r="P61" t="s">
        <v>248</v>
      </c>
    </row>
    <row r="62" spans="1:16" x14ac:dyDescent="0.3">
      <c r="A62" s="1" t="s">
        <v>71</v>
      </c>
      <c r="B62" s="1" t="s">
        <v>51</v>
      </c>
      <c r="C62" s="2">
        <v>45985</v>
      </c>
      <c r="D62" s="1" t="s">
        <v>52</v>
      </c>
      <c r="E62">
        <v>2940</v>
      </c>
      <c r="F62">
        <v>2940</v>
      </c>
      <c r="G62">
        <v>2940</v>
      </c>
      <c r="H62">
        <v>2940</v>
      </c>
      <c r="I62">
        <v>2940</v>
      </c>
      <c r="J62" s="1" t="s">
        <v>249</v>
      </c>
      <c r="K62">
        <v>2940</v>
      </c>
      <c r="L62">
        <v>53.83</v>
      </c>
      <c r="M62">
        <v>158269.01999999999</v>
      </c>
      <c r="N62">
        <v>2940</v>
      </c>
      <c r="O62">
        <v>2940</v>
      </c>
      <c r="P62" t="s">
        <v>250</v>
      </c>
    </row>
    <row r="63" spans="1:16" x14ac:dyDescent="0.3">
      <c r="A63" s="1" t="s">
        <v>71</v>
      </c>
      <c r="B63" s="1" t="s">
        <v>54</v>
      </c>
      <c r="C63" s="2">
        <v>45985</v>
      </c>
      <c r="D63" s="1" t="s">
        <v>55</v>
      </c>
      <c r="E63">
        <v>658.05</v>
      </c>
      <c r="F63">
        <v>658.05</v>
      </c>
      <c r="G63">
        <v>658.05</v>
      </c>
      <c r="H63">
        <v>658.05</v>
      </c>
      <c r="I63">
        <v>658.05</v>
      </c>
      <c r="J63" s="1" t="s">
        <v>142</v>
      </c>
      <c r="K63">
        <v>658.05</v>
      </c>
      <c r="L63">
        <v>129.9</v>
      </c>
      <c r="M63">
        <v>85480.7</v>
      </c>
      <c r="N63">
        <v>658.05</v>
      </c>
      <c r="O63">
        <v>658.05</v>
      </c>
      <c r="P63" t="s">
        <v>251</v>
      </c>
    </row>
    <row r="64" spans="1:16" x14ac:dyDescent="0.3">
      <c r="A64" s="1" t="s">
        <v>71</v>
      </c>
      <c r="B64" s="1" t="s">
        <v>39</v>
      </c>
      <c r="C64" s="2">
        <v>45986</v>
      </c>
      <c r="D64" s="1" t="s">
        <v>40</v>
      </c>
      <c r="E64">
        <v>300</v>
      </c>
      <c r="F64">
        <v>300</v>
      </c>
      <c r="G64">
        <v>300</v>
      </c>
      <c r="H64">
        <v>300</v>
      </c>
      <c r="I64">
        <v>300</v>
      </c>
      <c r="J64" s="1" t="s">
        <v>252</v>
      </c>
      <c r="K64">
        <v>300</v>
      </c>
      <c r="L64">
        <v>47.2</v>
      </c>
      <c r="M64">
        <v>14160</v>
      </c>
      <c r="N64">
        <v>300</v>
      </c>
      <c r="O64">
        <v>300</v>
      </c>
      <c r="P64" t="s">
        <v>253</v>
      </c>
    </row>
    <row r="65" spans="1:16" x14ac:dyDescent="0.3">
      <c r="A65" s="1" t="s">
        <v>71</v>
      </c>
      <c r="B65" s="1" t="s">
        <v>57</v>
      </c>
      <c r="C65" s="2">
        <v>45986</v>
      </c>
      <c r="D65" s="1" t="s">
        <v>237</v>
      </c>
      <c r="E65">
        <v>900</v>
      </c>
      <c r="F65">
        <v>900</v>
      </c>
      <c r="G65">
        <v>900</v>
      </c>
      <c r="H65">
        <v>900</v>
      </c>
      <c r="I65">
        <v>900</v>
      </c>
      <c r="J65" s="1" t="s">
        <v>238</v>
      </c>
      <c r="K65">
        <v>900</v>
      </c>
      <c r="L65">
        <v>45.24</v>
      </c>
      <c r="M65">
        <v>40711.949999999997</v>
      </c>
      <c r="N65">
        <v>900</v>
      </c>
      <c r="O65">
        <v>900</v>
      </c>
      <c r="P65" t="s">
        <v>254</v>
      </c>
    </row>
    <row r="66" spans="1:16" x14ac:dyDescent="0.3">
      <c r="A66" s="1" t="s">
        <v>71</v>
      </c>
      <c r="B66" s="1" t="s">
        <v>255</v>
      </c>
      <c r="C66" s="2">
        <v>45986</v>
      </c>
      <c r="D66" s="1" t="s">
        <v>256</v>
      </c>
      <c r="E66">
        <v>2964</v>
      </c>
      <c r="F66">
        <v>2964</v>
      </c>
      <c r="G66">
        <v>2964</v>
      </c>
      <c r="H66">
        <v>2964</v>
      </c>
      <c r="I66">
        <v>2964</v>
      </c>
      <c r="J66" s="1" t="s">
        <v>257</v>
      </c>
      <c r="K66">
        <v>2964</v>
      </c>
      <c r="L66">
        <v>49.48</v>
      </c>
      <c r="M66">
        <v>146646.85999999999</v>
      </c>
      <c r="N66">
        <v>2964</v>
      </c>
      <c r="O66">
        <v>2964</v>
      </c>
      <c r="P66" t="s">
        <v>258</v>
      </c>
    </row>
    <row r="67" spans="1:16" x14ac:dyDescent="0.3">
      <c r="A67" s="1" t="s">
        <v>71</v>
      </c>
      <c r="B67" s="1" t="s">
        <v>255</v>
      </c>
      <c r="C67" s="2">
        <v>45986</v>
      </c>
      <c r="D67" s="1" t="s">
        <v>259</v>
      </c>
      <c r="E67">
        <v>3744</v>
      </c>
      <c r="F67">
        <v>3744</v>
      </c>
      <c r="G67">
        <v>3744</v>
      </c>
      <c r="H67">
        <v>3744</v>
      </c>
      <c r="I67">
        <v>3744</v>
      </c>
      <c r="J67" s="1" t="s">
        <v>152</v>
      </c>
      <c r="K67">
        <v>3744</v>
      </c>
      <c r="L67">
        <v>38.19</v>
      </c>
      <c r="M67">
        <v>142983.35999999999</v>
      </c>
      <c r="N67">
        <v>3744</v>
      </c>
      <c r="O67">
        <v>3744</v>
      </c>
      <c r="P67" t="s">
        <v>258</v>
      </c>
    </row>
    <row r="68" spans="1:16" x14ac:dyDescent="0.3">
      <c r="A68" s="1" t="s">
        <v>71</v>
      </c>
      <c r="B68" s="1" t="s">
        <v>260</v>
      </c>
      <c r="C68" s="2">
        <v>45989</v>
      </c>
      <c r="D68" s="1" t="s">
        <v>261</v>
      </c>
      <c r="E68">
        <v>632.4</v>
      </c>
      <c r="F68">
        <v>632.4</v>
      </c>
      <c r="G68">
        <v>632.4</v>
      </c>
      <c r="H68">
        <v>632.4</v>
      </c>
      <c r="I68">
        <v>632.4</v>
      </c>
      <c r="J68" s="1" t="s">
        <v>262</v>
      </c>
      <c r="K68">
        <v>632.4</v>
      </c>
      <c r="L68">
        <v>262.64999999999998</v>
      </c>
      <c r="M68">
        <v>166101.96</v>
      </c>
      <c r="N68">
        <v>632.4</v>
      </c>
      <c r="O68">
        <v>632.4</v>
      </c>
      <c r="P68" t="s">
        <v>263</v>
      </c>
    </row>
    <row r="69" spans="1:16" x14ac:dyDescent="0.3">
      <c r="A69" s="1" t="s">
        <v>71</v>
      </c>
      <c r="B69" s="1" t="s">
        <v>264</v>
      </c>
      <c r="C69" s="2">
        <v>45989</v>
      </c>
      <c r="D69" s="1" t="s">
        <v>261</v>
      </c>
      <c r="E69">
        <v>895.9</v>
      </c>
      <c r="F69">
        <v>895.9</v>
      </c>
      <c r="G69">
        <v>895.9</v>
      </c>
      <c r="H69">
        <v>895.9</v>
      </c>
      <c r="I69">
        <v>895.9</v>
      </c>
      <c r="J69" s="1" t="s">
        <v>262</v>
      </c>
      <c r="K69">
        <v>895.9</v>
      </c>
      <c r="L69">
        <v>262.64999999999998</v>
      </c>
      <c r="M69">
        <v>235308</v>
      </c>
      <c r="N69">
        <v>895.9</v>
      </c>
      <c r="O69">
        <v>895.9</v>
      </c>
      <c r="P69" t="s">
        <v>265</v>
      </c>
    </row>
    <row r="70" spans="1:16" x14ac:dyDescent="0.3">
      <c r="A70" s="1" t="s">
        <v>71</v>
      </c>
      <c r="B70" s="1" t="s">
        <v>266</v>
      </c>
      <c r="C70" s="2">
        <v>45989</v>
      </c>
      <c r="D70" s="1" t="s">
        <v>267</v>
      </c>
      <c r="E70">
        <v>25</v>
      </c>
      <c r="F70">
        <v>25</v>
      </c>
      <c r="G70">
        <v>25</v>
      </c>
      <c r="H70">
        <v>25</v>
      </c>
      <c r="I70">
        <v>25</v>
      </c>
      <c r="J70" s="1" t="s">
        <v>268</v>
      </c>
      <c r="K70">
        <v>25</v>
      </c>
      <c r="L70">
        <v>6614.4</v>
      </c>
      <c r="M70">
        <v>165360</v>
      </c>
      <c r="N70">
        <v>25</v>
      </c>
      <c r="O70">
        <v>25</v>
      </c>
      <c r="P70" t="s">
        <v>269</v>
      </c>
    </row>
    <row r="71" spans="1:16" x14ac:dyDescent="0.3">
      <c r="A71" s="1" t="s">
        <v>71</v>
      </c>
      <c r="B71" s="1" t="s">
        <v>270</v>
      </c>
      <c r="C71" s="2">
        <v>45989</v>
      </c>
      <c r="D71" s="1" t="s">
        <v>271</v>
      </c>
      <c r="E71">
        <v>414</v>
      </c>
      <c r="F71">
        <v>414</v>
      </c>
      <c r="G71">
        <v>414</v>
      </c>
      <c r="H71">
        <v>414</v>
      </c>
      <c r="I71">
        <v>414</v>
      </c>
      <c r="J71" s="1" t="s">
        <v>272</v>
      </c>
      <c r="K71">
        <v>414</v>
      </c>
      <c r="L71">
        <v>162.29</v>
      </c>
      <c r="M71">
        <v>67187.23</v>
      </c>
      <c r="N71">
        <v>414</v>
      </c>
      <c r="O71">
        <v>414</v>
      </c>
      <c r="P71" t="s">
        <v>273</v>
      </c>
    </row>
    <row r="72" spans="1:16" x14ac:dyDescent="0.3">
      <c r="A72" s="1" t="s">
        <v>71</v>
      </c>
      <c r="B72" s="1" t="s">
        <v>274</v>
      </c>
      <c r="C72" s="2">
        <v>45989</v>
      </c>
      <c r="D72" s="1" t="s">
        <v>275</v>
      </c>
      <c r="E72">
        <v>3834</v>
      </c>
      <c r="F72">
        <v>3834</v>
      </c>
      <c r="G72">
        <v>3834</v>
      </c>
      <c r="H72">
        <v>3834</v>
      </c>
      <c r="I72">
        <v>3834</v>
      </c>
      <c r="J72" s="1" t="s">
        <v>276</v>
      </c>
      <c r="K72">
        <v>3834</v>
      </c>
      <c r="L72">
        <v>51.34</v>
      </c>
      <c r="M72">
        <v>196829.89</v>
      </c>
      <c r="N72">
        <v>3834</v>
      </c>
      <c r="O72">
        <v>3834</v>
      </c>
      <c r="P72" t="s">
        <v>277</v>
      </c>
    </row>
    <row r="73" spans="1:16" x14ac:dyDescent="0.3">
      <c r="A73" s="1" t="s">
        <v>71</v>
      </c>
      <c r="B73" s="1" t="s">
        <v>274</v>
      </c>
      <c r="C73" s="2">
        <v>45989</v>
      </c>
      <c r="D73" s="1" t="s">
        <v>278</v>
      </c>
      <c r="E73">
        <v>3738</v>
      </c>
      <c r="F73">
        <v>3738</v>
      </c>
      <c r="G73">
        <v>3738</v>
      </c>
      <c r="H73">
        <v>3738</v>
      </c>
      <c r="I73">
        <v>3738</v>
      </c>
      <c r="J73" s="1" t="s">
        <v>279</v>
      </c>
      <c r="K73">
        <v>3738</v>
      </c>
      <c r="L73">
        <v>46.63</v>
      </c>
      <c r="M73">
        <v>174287.99</v>
      </c>
      <c r="N73">
        <v>3738</v>
      </c>
      <c r="O73">
        <v>3732</v>
      </c>
      <c r="P73" t="s">
        <v>277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ECFF24-B402-453F-880D-1B38D54B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пример отчета</vt:lpstr>
      <vt:lpstr>znom_primer</vt:lpstr>
      <vt:lpstr>reestr_primer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Сермус Виктор</dc:creator>
  <cp:lastModifiedBy>Сермус Виктор</cp:lastModifiedBy>
  <dcterms:created xsi:type="dcterms:W3CDTF">2026-03-26T17:18:07Z</dcterms:created>
  <dcterms:modified xsi:type="dcterms:W3CDTF">2026-03-26T20:37:45Z</dcterms:modified>
</cp:coreProperties>
</file>